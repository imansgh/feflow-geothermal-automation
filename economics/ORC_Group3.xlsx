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ase_Case_Group3" sheetId="1" state="visible" r:id="rId3"/>
    <sheet name="Monthly_Productio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<sst xmlns="http://schemas.openxmlformats.org/spreadsheetml/2006/main" count="89" uniqueCount="82">
  <si>
    <t xml:space="preserve">Symbol</t>
  </si>
  <si>
    <t xml:space="preserve">Value</t>
  </si>
  <si>
    <t xml:space="preserve">Unit</t>
  </si>
  <si>
    <t xml:space="preserve">Description</t>
  </si>
  <si>
    <t xml:space="preserve">edit values in yellow, not the other ones</t>
  </si>
  <si>
    <t xml:space="preserve">Tsource-in</t>
  </si>
  <si>
    <t xml:space="preserve">°C</t>
  </si>
  <si>
    <t xml:space="preserve">Temperature of the geothermal fluid from the production wells</t>
  </si>
  <si>
    <t xml:space="preserve">Group3: exact avg production T at t=100yr, extracted directly from FEFLOW post-processing (Stage 12); see ../outputs/Average_Production_Temperature.csv, ../figures/F8_average_production_temperature.png</t>
  </si>
  <si>
    <t xml:space="preserve">Tsource-out</t>
  </si>
  <si>
    <t xml:space="preserve">Reinjection temperature (generally 50-80°C, limited by silica scaling risk)</t>
  </si>
  <si>
    <t xml:space="preserve">Tcond-in</t>
  </si>
  <si>
    <t xml:space="preserve">Outdoor dry bulb temperature (annual mean, Volterra/Pomarance area, near Larderello)</t>
  </si>
  <si>
    <t xml:space="preserve">Tcond-out</t>
  </si>
  <si>
    <t xml:space="preserve">Outlet temperature in the air condenser (generally, 12-15°C higher than Tcond-in)</t>
  </si>
  <si>
    <t xml:space="preserve">LMTsource</t>
  </si>
  <si>
    <t xml:space="preserve">Log-mean temperature at source side</t>
  </si>
  <si>
    <t xml:space="preserve">LMTair</t>
  </si>
  <si>
    <t xml:space="preserve">Log-mean temperature at condenser side</t>
  </si>
  <si>
    <t xml:space="preserve">etaLorentz</t>
  </si>
  <si>
    <t xml:space="preserve">-</t>
  </si>
  <si>
    <t xml:space="preserve">Gross electrical efficiency of the ORC turbine - maximum theoretical value after Lorentz</t>
  </si>
  <si>
    <t xml:space="preserve">etaCarnot</t>
  </si>
  <si>
    <t xml:space="preserve">Gross electrical efficiency of the ORC turbine - maximum theoretical value after Carnot</t>
  </si>
  <si>
    <t xml:space="preserve">etaORC/etaLorentz</t>
  </si>
  <si>
    <t xml:space="preserve">% of the Lorentz efficiency achieved by the turbine - net value excluding own consumption</t>
  </si>
  <si>
    <t xml:space="preserve">etaORC</t>
  </si>
  <si>
    <t xml:space="preserve">Net electrical efficiency of the ORC turbine</t>
  </si>
  <si>
    <t xml:space="preserve">cP fluid</t>
  </si>
  <si>
    <t xml:space="preserve">kJ/kg/K</t>
  </si>
  <si>
    <t xml:space="preserve">Specific heat of the geothermal fluid (assume water values if you do not know)</t>
  </si>
  <si>
    <t xml:space="preserve">density fluid</t>
  </si>
  <si>
    <t xml:space="preserve">kg/l</t>
  </si>
  <si>
    <t xml:space="preserve">Density of the geothermal fluid (assume water values if you do not know)</t>
  </si>
  <si>
    <t xml:space="preserve">volumetric flow rate</t>
  </si>
  <si>
    <t xml:space="preserve">l/s</t>
  </si>
  <si>
    <t xml:space="preserve">Volumetric (l/s) and mass (kg/s) flow rate of the geothermal fluid (Group3: 5 x 30 l/s)</t>
  </si>
  <si>
    <t xml:space="preserve">mass flow rate</t>
  </si>
  <si>
    <t xml:space="preserve">kg/s</t>
  </si>
  <si>
    <t xml:space="preserve">Pth-source</t>
  </si>
  <si>
    <t xml:space="preserve">kW</t>
  </si>
  <si>
    <t xml:space="preserve">Thermal power extracted from the reservoir</t>
  </si>
  <si>
    <t xml:space="preserve">Pel</t>
  </si>
  <si>
    <t xml:space="preserve">Electrical power of the ORC turbine</t>
  </si>
  <si>
    <t xml:space="preserve">LF</t>
  </si>
  <si>
    <t xml:space="preserve">h/a</t>
  </si>
  <si>
    <t xml:space="preserve">Load factor of the ORC turbine</t>
  </si>
  <si>
    <t xml:space="preserve">Prod-el-year</t>
  </si>
  <si>
    <t xml:space="preserve">MWh/a</t>
  </si>
  <si>
    <t xml:space="preserve">Electrical production per year</t>
  </si>
  <si>
    <t xml:space="preserve">days of the month</t>
  </si>
  <si>
    <t xml:space="preserve">Prod-el-month</t>
  </si>
  <si>
    <t xml:space="preserve">MWh/month</t>
  </si>
  <si>
    <t xml:space="preserve">Electrical production per month</t>
  </si>
  <si>
    <t xml:space="preserve">Monthly electrical production — Group 3 (source: Base_Case_Group3 sheet, Tsource fixed)</t>
  </si>
  <si>
    <t xml:space="preserve">Outdoor temperature source: Volterra / Pomarance climate normals (near Larderello), climate-data.org, 1991-2021 avg.</t>
  </si>
  <si>
    <t xml:space="preserve">Availability factor (from Base_Case LF / 8760 h)</t>
  </si>
  <si>
    <t xml:space="preserve">Month</t>
  </si>
  <si>
    <t xml:space="preserve">Days</t>
  </si>
  <si>
    <t xml:space="preserve">T_outdoor avg [°C]</t>
  </si>
  <si>
    <t xml:space="preserve">Tcond-out [°C]</t>
  </si>
  <si>
    <t xml:space="preserve">LMTair [°C]</t>
  </si>
  <si>
    <t xml:space="preserve">eta_Lorentz [-]</t>
  </si>
  <si>
    <t xml:space="preserve">eta_ORC [-]</t>
  </si>
  <si>
    <t xml:space="preserve">Pel [kW]</t>
  </si>
  <si>
    <t xml:space="preserve">Prod-el-month [MWh]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</si>
  <si>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</si>
  <si>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</si>
  <si>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</si>
  <si>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</si>
  <si>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</si>
  <si>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</si>
  <si>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</si>
  <si>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</si>
  <si>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</si>
  <si>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</si>
  <si>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</si>
  <si>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</si>
  <si>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Notes:</t>
  </si>
  <si>
    <t xml:space="preserve">- Tsource-in, Tsource-out, cP, density, flow rate taken from Base_Case_Group3 sheet (fixed, do not vary seasonally in this model).</t>
  </si>
  <si>
    <t xml:space="preserve">- Availability factor applies the same total operating hours (LF, cell B18 in Base_Case) as the annual estimate, distributed pro-rata by days/month.</t>
  </si>
  <si>
    <t xml:space="preserve">- Yellow cells (T_outdoor avg) are editable; replace with your own monthly climate data source if desired.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</si>
</sst>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.00%"/>
    <numFmt numFmtId="167" formatCode="0%"/>
  </numFmts>
  <fonts count="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9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  <fill>
      <patternFill patternType="solid">
        <fgColor rgb="FFDDEBF7"/>
        <bgColor rgb="FFCCFFFF"/>
      </patternFill>
    </fill>
    <fill>
      <patternFill patternType="solid">
        <fgColor rgb="FFFFFF99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i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0" activeCellId="0" sqref="D20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8.57"/>
    <col collapsed="false" customWidth="true" hidden="false" outlineLevel="0" max="2" min="2" style="1" width="7.14"/>
    <col collapsed="false" customWidth="true" hidden="false" outlineLevel="0" max="3" min="3" style="1" width="11.86"/>
    <col collapsed="false" customWidth="true" hidden="false" outlineLevel="0" max="4" min="4" style="1" width="78.43"/>
    <col collapsed="false" customWidth="true" hidden="false" outlineLevel="0" max="5" min="5" style="1" width="36.1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customFormat="false" ht="15" hidden="false" customHeight="true" outlineLevel="0" collapsed="false">
      <c r="A2" s="1" t="s">
        <v>5</v>
      </c>
      <c r="B2" s="3" t="n">
        <v>124.5327</v>
      </c>
      <c r="C2" s="1" t="s">
        <v>6</v>
      </c>
      <c r="D2" s="1" t="s">
        <v>7</v>
      </c>
      <c r="E2" s="4" t="s">
        <v>8</v>
      </c>
    </row>
    <row r="3" customFormat="false" ht="15" hidden="false" customHeight="true" outlineLevel="0" collapsed="false">
      <c r="A3" s="1" t="s">
        <v>9</v>
      </c>
      <c r="B3" s="3" t="n">
        <v>50</v>
      </c>
      <c r="C3" s="1" t="s">
        <v>6</v>
      </c>
      <c r="D3" s="1" t="s">
        <v>10</v>
      </c>
    </row>
    <row r="4" customFormat="false" ht="15" hidden="false" customHeight="true" outlineLevel="0" collapsed="false">
      <c r="A4" s="1" t="s">
        <v>11</v>
      </c>
      <c r="B4" s="3" t="n">
        <v>14</v>
      </c>
      <c r="C4" s="1" t="s">
        <v>6</v>
      </c>
      <c r="D4" s="1" t="s">
        <v>12</v>
      </c>
    </row>
    <row r="5" customFormat="false" ht="15" hidden="false" customHeight="true" outlineLevel="0" collapsed="false">
      <c r="A5" s="1" t="s">
        <v>13</v>
      </c>
      <c r="B5" s="1" t="n">
        <f aca="false">B4+12</f>
        <v>26</v>
      </c>
      <c r="C5" s="1" t="s">
        <v>6</v>
      </c>
      <c r="D5" s="1" t="s">
        <v>14</v>
      </c>
    </row>
    <row r="6" customFormat="false" ht="15" hidden="false" customHeight="true" outlineLevel="0" collapsed="false">
      <c r="A6" s="1" t="s">
        <v>15</v>
      </c>
      <c r="B6" s="5" t="n">
        <f aca="false">(B2-B3)/LN((273.15+B2)/(273.15+B3))-273.15</f>
        <v>85.9782447753919</v>
      </c>
      <c r="C6" s="1" t="s">
        <v>6</v>
      </c>
      <c r="D6" s="1" t="s">
        <v>16</v>
      </c>
    </row>
    <row r="7" customFormat="false" ht="15" hidden="false" customHeight="true" outlineLevel="0" collapsed="false">
      <c r="A7" s="1" t="s">
        <v>17</v>
      </c>
      <c r="B7" s="5" t="n">
        <f aca="false">(B5-B4)/LN((273.15+B5)/(273.15+B4))-273.15</f>
        <v>19.9590607511086</v>
      </c>
      <c r="C7" s="1" t="s">
        <v>6</v>
      </c>
      <c r="D7" s="1" t="s">
        <v>18</v>
      </c>
    </row>
    <row r="8" customFormat="false" ht="15" hidden="false" customHeight="true" outlineLevel="0" collapsed="false">
      <c r="A8" s="1" t="s">
        <v>19</v>
      </c>
      <c r="B8" s="6" t="n">
        <f aca="false">1-(273.15+B7)/(273.15+B6)</f>
        <v>0.18383177871619</v>
      </c>
      <c r="C8" s="1" t="s">
        <v>20</v>
      </c>
      <c r="D8" s="1" t="s">
        <v>21</v>
      </c>
    </row>
    <row r="9" customFormat="false" ht="15" hidden="false" customHeight="true" outlineLevel="0" collapsed="false">
      <c r="A9" s="1" t="s">
        <v>22</v>
      </c>
      <c r="B9" s="6" t="n">
        <f aca="false">1-(273.15+B4)/(273.15+B2)</f>
        <v>0.277941937127262</v>
      </c>
      <c r="C9" s="1" t="s">
        <v>20</v>
      </c>
      <c r="D9" s="1" t="s">
        <v>23</v>
      </c>
    </row>
    <row r="10" customFormat="false" ht="15" hidden="false" customHeight="true" outlineLevel="0" collapsed="false">
      <c r="A10" s="1" t="s">
        <v>24</v>
      </c>
      <c r="B10" s="7" t="n">
        <v>0.52</v>
      </c>
      <c r="D10" s="1" t="s">
        <v>25</v>
      </c>
    </row>
    <row r="11" customFormat="false" ht="15" hidden="false" customHeight="true" outlineLevel="0" collapsed="false">
      <c r="A11" s="1" t="s">
        <v>26</v>
      </c>
      <c r="B11" s="8" t="n">
        <f aca="false">B10*B8</f>
        <v>0.0955925249324185</v>
      </c>
      <c r="D11" s="1" t="s">
        <v>27</v>
      </c>
    </row>
    <row r="12" customFormat="false" ht="15" hidden="false" customHeight="true" outlineLevel="0" collapsed="false">
      <c r="A12" s="1" t="s">
        <v>28</v>
      </c>
      <c r="B12" s="3" t="n">
        <v>4.31</v>
      </c>
      <c r="C12" s="1" t="s">
        <v>29</v>
      </c>
      <c r="D12" s="1" t="s">
        <v>30</v>
      </c>
    </row>
    <row r="13" customFormat="false" ht="15" hidden="false" customHeight="true" outlineLevel="0" collapsed="false">
      <c r="A13" s="1" t="s">
        <v>31</v>
      </c>
      <c r="B13" s="3" t="n">
        <v>0.917</v>
      </c>
      <c r="C13" s="1" t="s">
        <v>32</v>
      </c>
      <c r="D13" s="1" t="s">
        <v>33</v>
      </c>
    </row>
    <row r="14" customFormat="false" ht="15" hidden="false" customHeight="true" outlineLevel="0" collapsed="false">
      <c r="A14" s="1" t="s">
        <v>34</v>
      </c>
      <c r="B14" s="3" t="n">
        <v>150</v>
      </c>
      <c r="C14" s="1" t="s">
        <v>35</v>
      </c>
      <c r="D14" s="9" t="s">
        <v>36</v>
      </c>
    </row>
    <row r="15" customFormat="false" ht="15" hidden="false" customHeight="true" outlineLevel="0" collapsed="false">
      <c r="A15" s="1" t="s">
        <v>37</v>
      </c>
      <c r="B15" s="1" t="n">
        <f aca="false">B14*B13</f>
        <v>137.55</v>
      </c>
      <c r="C15" s="1" t="s">
        <v>38</v>
      </c>
      <c r="D15" s="9"/>
    </row>
    <row r="16" customFormat="false" ht="15" hidden="false" customHeight="true" outlineLevel="0" collapsed="false">
      <c r="A16" s="1" t="s">
        <v>39</v>
      </c>
      <c r="B16" s="1" t="n">
        <f aca="false">B15*B12*(B2-B3)</f>
        <v>44186.00313435</v>
      </c>
      <c r="C16" s="1" t="s">
        <v>40</v>
      </c>
      <c r="D16" s="1" t="s">
        <v>41</v>
      </c>
    </row>
    <row r="17" customFormat="false" ht="15" hidden="false" customHeight="true" outlineLevel="0" collapsed="false">
      <c r="A17" s="1" t="s">
        <v>42</v>
      </c>
      <c r="B17" s="4" t="n">
        <f aca="false">B16*B11</f>
        <v>4223.85160628428</v>
      </c>
      <c r="C17" s="1" t="s">
        <v>40</v>
      </c>
      <c r="D17" s="1" t="s">
        <v>43</v>
      </c>
    </row>
    <row r="18" customFormat="false" ht="15" hidden="false" customHeight="true" outlineLevel="0" collapsed="false">
      <c r="A18" s="1" t="s">
        <v>44</v>
      </c>
      <c r="B18" s="1" t="n">
        <v>8000</v>
      </c>
      <c r="C18" s="1" t="s">
        <v>45</v>
      </c>
      <c r="D18" s="1" t="s">
        <v>46</v>
      </c>
    </row>
    <row r="19" customFormat="false" ht="15" hidden="false" customHeight="true" outlineLevel="0" collapsed="false">
      <c r="A19" s="1" t="s">
        <v>47</v>
      </c>
      <c r="B19" s="4" t="n">
        <f aca="false">B17*B18/1000</f>
        <v>33790.8128502742</v>
      </c>
      <c r="C19" s="1" t="s">
        <v>48</v>
      </c>
      <c r="D19" s="1" t="s">
        <v>49</v>
      </c>
    </row>
    <row r="20" customFormat="false" ht="15" hidden="false" customHeight="true" outlineLevel="0" collapsed="false">
      <c r="A20" s="1" t="s">
        <v>50</v>
      </c>
      <c r="B20" s="1" t="n">
        <v>31</v>
      </c>
    </row>
    <row r="21" customFormat="false" ht="15" hidden="false" customHeight="true" outlineLevel="0" collapsed="false">
      <c r="A21" s="1" t="s">
        <v>51</v>
      </c>
      <c r="B21" s="4" t="n">
        <f aca="false">B17*B20*24/1000</f>
        <v>3142.5455950755</v>
      </c>
      <c r="C21" s="1" t="s">
        <v>52</v>
      </c>
      <c r="D21" s="1" t="s">
        <v>53</v>
      </c>
    </row>
  </sheetData>
  <mergeCells count="1">
    <mergeCell ref="D14:D1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6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8" min="7" style="1" width="10"/>
    <col collapsed="false" customWidth="true" hidden="false" outlineLevel="0" max="9" min="9" style="1" width="16"/>
  </cols>
  <sheetData>
    <row r="1" customFormat="false" ht="15" hidden="false" customHeight="true" outlineLevel="0" collapsed="false">
      <c r="A1" s="10" t="s">
        <v>54</v>
      </c>
      <c r="B1" s="10"/>
      <c r="C1" s="10"/>
      <c r="D1" s="10"/>
      <c r="E1" s="10"/>
      <c r="F1" s="10"/>
      <c r="G1" s="10"/>
      <c r="H1" s="10"/>
      <c r="I1" s="10"/>
    </row>
    <row r="3" customFormat="false" ht="15" hidden="false" customHeight="true" outlineLevel="0" collapsed="false">
      <c r="A3" s="11" t="s">
        <v>55</v>
      </c>
      <c r="B3" s="11"/>
      <c r="C3" s="11"/>
      <c r="D3" s="11"/>
      <c r="E3" s="11"/>
      <c r="F3" s="11"/>
      <c r="G3" s="11"/>
      <c r="H3" s="11"/>
      <c r="I3" s="11"/>
    </row>
    <row r="5" customFormat="false" ht="15" hidden="false" customHeight="true" outlineLevel="0" collapsed="false">
      <c r="A5" s="12" t="s">
        <v>56</v>
      </c>
      <c r="H5" s="1" t="n">
        <f aca="false">Base_Case_Group3!B18/8760</f>
        <v>0.91324200913242</v>
      </c>
    </row>
    <row r="7" customFormat="false" ht="26.25" hidden="false" customHeight="true" outlineLevel="0" collapsed="false">
      <c r="A7" s="13" t="s">
        <v>57</v>
      </c>
      <c r="B7" s="13" t="s">
        <v>58</v>
      </c>
      <c r="C7" s="13" t="s">
        <v>59</v>
      </c>
      <c r="D7" s="13" t="s">
        <v>60</v>
      </c>
      <c r="E7" s="13" t="s">
        <v>61</v>
      </c>
      <c r="F7" s="13" t="s">
        <v>62</v>
      </c>
      <c r="G7" s="13" t="s">
        <v>63</v>
      </c>
      <c r="H7" s="13" t="s">
        <v>64</v>
      </c>
      <c r="I7" s="13" t="s">
        <v>65</v>
      </c>
    </row>
    <row r="8" customFormat="false" ht="15" hidden="false" customHeight="true" outlineLevel="0" collapsed="false">
      <c r="A8" s="1" t="s">
        <v>66</v>
      </c>
      <c r="B8" s="1" t="n">
        <v>31</v>
      </c>
      <c r="C8" s="14" t="n">
        <v>5</v>
      </c>
      <c r="D8" s="1" t="n">
        <f aca="false">C8+12</f>
        <v>17</v>
      </c>
      <c r="E8" s="1" t="n">
        <f aca="false">(D8-C8)/LN((273.15+D8)/(273.15+C8))-273.15</f>
        <v>10.9577637616966</v>
      </c>
      <c r="F8" s="1" t="n">
        <f aca="false">1-(273.15+E8)/(273.15+Base_Case_Group3!$B$6)</f>
        <v>0.208896075719734</v>
      </c>
      <c r="G8" s="1" t="n">
        <f aca="false">Base_Case_Group3!$B$10*F8</f>
        <v>0.108625959374262</v>
      </c>
      <c r="H8" s="1" t="n">
        <f aca="false">Base_Case_Group3!$B$16*G8</f>
        <v>4799.7469813829</v>
      </c>
      <c r="I8" s="1" t="n">
        <f aca="false">H8*B8*24/1000*$H$5</f>
        <v>3261.19794899441</v>
      </c>
    </row>
    <row r="9" customFormat="false" ht="15" hidden="false" customHeight="true" outlineLevel="0" collapsed="false">
      <c r="A9" s="1" t="s">
        <v>67</v>
      </c>
      <c r="B9" s="1" t="n">
        <v>28</v>
      </c>
      <c r="C9" s="14" t="n">
        <v>5.7</v>
      </c>
      <c r="D9" s="1" t="n">
        <f aca="false">C9+12</f>
        <v>17.7</v>
      </c>
      <c r="E9" s="1" t="n">
        <f aca="false">(D9-C9)/LN((273.15+D9)/(273.15+C9))-273.15</f>
        <v>11.6578675790533</v>
      </c>
      <c r="F9" s="1" t="n">
        <f aca="false">1-(273.15+E9)/(273.15+Base_Case_Group3!$B$6)</f>
        <v>0.206946622209625</v>
      </c>
      <c r="G9" s="1" t="n">
        <f aca="false">Base_Case_Group3!$B$10*F9</f>
        <v>0.107612243549005</v>
      </c>
      <c r="H9" s="1" t="n">
        <f aca="false">Base_Case_Group3!$B$16*G9</f>
        <v>4754.95493075076</v>
      </c>
      <c r="I9" s="1" t="n">
        <f aca="false">H9*B9*24/1000*$H$5</f>
        <v>2918.10932736485</v>
      </c>
    </row>
    <row r="10" customFormat="false" ht="15" hidden="false" customHeight="true" outlineLevel="0" collapsed="false">
      <c r="A10" s="1" t="s">
        <v>68</v>
      </c>
      <c r="B10" s="1" t="n">
        <v>31</v>
      </c>
      <c r="C10" s="14" t="n">
        <v>9</v>
      </c>
      <c r="D10" s="1" t="n">
        <f aca="false">C10+12</f>
        <v>21</v>
      </c>
      <c r="E10" s="1" t="n">
        <f aca="false">(D10-C10)/LN((273.15+D10)/(273.15+C10))-273.15</f>
        <v>14.9583502073273</v>
      </c>
      <c r="F10" s="1" t="n">
        <f aca="false">1-(273.15+E10)/(273.15+Base_Case_Group3!$B$6)</f>
        <v>0.19775636030099</v>
      </c>
      <c r="G10" s="1" t="n">
        <f aca="false">Base_Case_Group3!$B$10*F10</f>
        <v>0.102833307356515</v>
      </c>
      <c r="H10" s="1" t="n">
        <f aca="false">Base_Case_Group3!$B$16*G10</f>
        <v>4543.79284117054</v>
      </c>
      <c r="I10" s="1" t="n">
        <f aca="false">H10*B10*24/1000*$H$5</f>
        <v>3087.28938249396</v>
      </c>
    </row>
    <row r="11" customFormat="false" ht="15" hidden="false" customHeight="true" outlineLevel="0" collapsed="false">
      <c r="A11" s="1" t="s">
        <v>69</v>
      </c>
      <c r="B11" s="1" t="n">
        <v>30</v>
      </c>
      <c r="C11" s="14" t="n">
        <v>12.5</v>
      </c>
      <c r="D11" s="1" t="n">
        <f aca="false">C11+12</f>
        <v>24.5</v>
      </c>
      <c r="E11" s="1" t="n">
        <f aca="false">(D11-C11)/LN((273.15+D11)/(273.15+C11))-273.15</f>
        <v>18.4588501469475</v>
      </c>
      <c r="F11" s="1" t="n">
        <f aca="false">1-(273.15+E11)/(273.15+Base_Case_Group3!$B$6)</f>
        <v>0.188009146066116</v>
      </c>
      <c r="G11" s="1" t="n">
        <f aca="false">Base_Case_Group3!$B$10*F11</f>
        <v>0.0977647559543802</v>
      </c>
      <c r="H11" s="1" t="n">
        <f aca="false">Base_Case_Group3!$B$16*G11</f>
        <v>4319.83381302921</v>
      </c>
      <c r="I11" s="1" t="n">
        <f aca="false">H11*B11*24/1000*$H$5</f>
        <v>2840.43867158085</v>
      </c>
    </row>
    <row r="12" customFormat="false" ht="15" hidden="false" customHeight="true" outlineLevel="0" collapsed="false">
      <c r="A12" s="1" t="s">
        <v>70</v>
      </c>
      <c r="B12" s="1" t="n">
        <v>31</v>
      </c>
      <c r="C12" s="14" t="n">
        <v>16.5</v>
      </c>
      <c r="D12" s="1" t="n">
        <f aca="false">C12+12</f>
        <v>28.5</v>
      </c>
      <c r="E12" s="1" t="n">
        <f aca="false">(D12-C12)/LN((273.15+D12)/(273.15+C12))-273.15</f>
        <v>22.4594070075169</v>
      </c>
      <c r="F12" s="1" t="n">
        <f aca="false">1-(273.15+E12)/(273.15+Base_Case_Group3!$B$6)</f>
        <v>0.176869513027585</v>
      </c>
      <c r="G12" s="1" t="n">
        <f aca="false">Base_Case_Group3!$B$10*F12</f>
        <v>0.0919721467743444</v>
      </c>
      <c r="H12" s="1" t="n">
        <f aca="false">Base_Case_Group3!$B$16*G12</f>
        <v>4063.88156564408</v>
      </c>
      <c r="I12" s="1" t="n">
        <f aca="false">H12*B12*24/1000*$H$5</f>
        <v>2761.21268021844</v>
      </c>
    </row>
    <row r="13" customFormat="false" ht="15" hidden="false" customHeight="true" outlineLevel="0" collapsed="false">
      <c r="A13" s="1" t="s">
        <v>71</v>
      </c>
      <c r="B13" s="1" t="n">
        <v>30</v>
      </c>
      <c r="C13" s="14" t="n">
        <v>21</v>
      </c>
      <c r="D13" s="1" t="n">
        <f aca="false">C13+12</f>
        <v>33</v>
      </c>
      <c r="E13" s="1" t="n">
        <f aca="false">(D13-C13)/LN((273.15+D13)/(273.15+C13))-273.15</f>
        <v>26.9600157288402</v>
      </c>
      <c r="F13" s="1" t="n">
        <f aca="false">1-(273.15+E13)/(273.15+Base_Case_Group3!$B$6)</f>
        <v>0.164337475275617</v>
      </c>
      <c r="G13" s="1" t="n">
        <f aca="false">Base_Case_Group3!$B$10*F13</f>
        <v>0.0854554871433209</v>
      </c>
      <c r="H13" s="1" t="n">
        <f aca="false">Base_Case_Group3!$B$16*G13</f>
        <v>3775.93642276218</v>
      </c>
      <c r="I13" s="1" t="n">
        <f aca="false">H13*B13*24/1000*$H$5</f>
        <v>2482.80751085733</v>
      </c>
    </row>
    <row r="14" customFormat="false" ht="15" hidden="false" customHeight="true" outlineLevel="0" collapsed="false">
      <c r="A14" s="1" t="s">
        <v>72</v>
      </c>
      <c r="B14" s="1" t="n">
        <v>31</v>
      </c>
      <c r="C14" s="14" t="n">
        <v>23.7</v>
      </c>
      <c r="D14" s="1" t="n">
        <f aca="false">C14+12</f>
        <v>35.7</v>
      </c>
      <c r="E14" s="1" t="n">
        <f aca="false">(D14-C14)/LN((273.15+D14)/(273.15+C14))-273.15</f>
        <v>29.660372275778</v>
      </c>
      <c r="F14" s="1" t="n">
        <f aca="false">1-(273.15+E14)/(273.15+Base_Case_Group3!$B$6)</f>
        <v>0.156818276810382</v>
      </c>
      <c r="G14" s="1" t="n">
        <f aca="false">Base_Case_Group3!$B$10*F14</f>
        <v>0.0815455039413985</v>
      </c>
      <c r="H14" s="1" t="n">
        <f aca="false">Base_Case_Group3!$B$16*G14</f>
        <v>3603.16989274678</v>
      </c>
      <c r="I14" s="1" t="n">
        <f aca="false">H14*B14*24/1000*$H$5</f>
        <v>2448.18118740056</v>
      </c>
    </row>
    <row r="15" customFormat="false" ht="15" hidden="false" customHeight="true" outlineLevel="0" collapsed="false">
      <c r="A15" s="1" t="s">
        <v>73</v>
      </c>
      <c r="B15" s="1" t="n">
        <v>31</v>
      </c>
      <c r="C15" s="14" t="n">
        <v>23.7</v>
      </c>
      <c r="D15" s="1" t="n">
        <f aca="false">C15+12</f>
        <v>35.7</v>
      </c>
      <c r="E15" s="1" t="n">
        <f aca="false">(D15-C15)/LN((273.15+D15)/(273.15+C15))-273.15</f>
        <v>29.660372275778</v>
      </c>
      <c r="F15" s="1" t="n">
        <f aca="false">1-(273.15+E15)/(273.15+Base_Case_Group3!$B$6)</f>
        <v>0.156818276810382</v>
      </c>
      <c r="G15" s="1" t="n">
        <f aca="false">Base_Case_Group3!$B$10*F15</f>
        <v>0.0815455039413985</v>
      </c>
      <c r="H15" s="1" t="n">
        <f aca="false">Base_Case_Group3!$B$16*G15</f>
        <v>3603.16989274678</v>
      </c>
      <c r="I15" s="1" t="n">
        <f aca="false">H15*B15*24/1000*$H$5</f>
        <v>2448.18118740056</v>
      </c>
    </row>
    <row r="16" customFormat="false" ht="15" hidden="false" customHeight="true" outlineLevel="0" collapsed="false">
      <c r="A16" s="1" t="s">
        <v>74</v>
      </c>
      <c r="B16" s="1" t="n">
        <v>30</v>
      </c>
      <c r="C16" s="14" t="n">
        <v>19.2</v>
      </c>
      <c r="D16" s="1" t="n">
        <f aca="false">C16+12</f>
        <v>31.2</v>
      </c>
      <c r="E16" s="1" t="n">
        <f aca="false">(D16-C16)/LN((273.15+D16)/(273.15+C16))-273.15</f>
        <v>25.1597744445407</v>
      </c>
      <c r="F16" s="1" t="n">
        <f aca="false">1-(273.15+E16)/(273.15+Base_Case_Group3!$B$6)</f>
        <v>0.169350284238681</v>
      </c>
      <c r="G16" s="1" t="n">
        <f aca="false">Base_Case_Group3!$B$10*F16</f>
        <v>0.0880621478041141</v>
      </c>
      <c r="H16" s="1" t="n">
        <f aca="false">Base_Case_Group3!$B$16*G16</f>
        <v>3891.11433889018</v>
      </c>
      <c r="I16" s="1" t="n">
        <f aca="false">H16*B16*24/1000*$H$5</f>
        <v>2558.54093516067</v>
      </c>
    </row>
    <row r="17" customFormat="false" ht="15" hidden="false" customHeight="true" outlineLevel="0" collapsed="false">
      <c r="A17" s="1" t="s">
        <v>75</v>
      </c>
      <c r="B17" s="1" t="n">
        <v>31</v>
      </c>
      <c r="C17" s="14" t="n">
        <v>15</v>
      </c>
      <c r="D17" s="1" t="n">
        <f aca="false">C17+12</f>
        <v>27</v>
      </c>
      <c r="E17" s="1" t="n">
        <f aca="false">(D17-C17)/LN((273.15+D17)/(273.15+C17))-273.15</f>
        <v>20.9591999601927</v>
      </c>
      <c r="F17" s="1" t="n">
        <f aca="false">1-(273.15+E17)/(273.15+Base_Case_Group3!$B$6)</f>
        <v>0.181046870473426</v>
      </c>
      <c r="G17" s="1" t="n">
        <f aca="false">Base_Case_Group3!$B$10*F17</f>
        <v>0.0941443726461816</v>
      </c>
      <c r="H17" s="1" t="n">
        <f aca="false">Base_Case_Group3!$B$16*G17</f>
        <v>4159.8635448256</v>
      </c>
      <c r="I17" s="1" t="n">
        <f aca="false">H17*B17*24/1000*$H$5</f>
        <v>2826.42783319657</v>
      </c>
    </row>
    <row r="18" customFormat="false" ht="15" hidden="false" customHeight="true" outlineLevel="0" collapsed="false">
      <c r="A18" s="1" t="s">
        <v>76</v>
      </c>
      <c r="B18" s="1" t="n">
        <v>30</v>
      </c>
      <c r="C18" s="14" t="n">
        <v>10.2</v>
      </c>
      <c r="D18" s="1" t="n">
        <f aca="false">C18+12</f>
        <v>22.2</v>
      </c>
      <c r="E18" s="1" t="n">
        <f aca="false">(D18-C18)/LN((273.15+D18)/(273.15+C18))-273.15</f>
        <v>16.1585229781612</v>
      </c>
      <c r="F18" s="1" t="n">
        <f aca="false">1-(273.15+E18)/(273.15+Base_Case_Group3!$B$6)</f>
        <v>0.194414454482403</v>
      </c>
      <c r="G18" s="1" t="n">
        <f aca="false">Base_Case_Group3!$B$10*F18</f>
        <v>0.10109551633085</v>
      </c>
      <c r="H18" s="1" t="n">
        <f aca="false">Base_Case_Group3!$B$16*G18</f>
        <v>4467.00680146366</v>
      </c>
      <c r="I18" s="1" t="n">
        <f aca="false">H18*B18*24/1000*$H$5</f>
        <v>2937.20995164734</v>
      </c>
    </row>
    <row r="19" customFormat="false" ht="15" hidden="false" customHeight="true" outlineLevel="0" collapsed="false">
      <c r="A19" s="1" t="s">
        <v>77</v>
      </c>
      <c r="B19" s="1" t="n">
        <v>31</v>
      </c>
      <c r="C19" s="14" t="n">
        <v>6.1</v>
      </c>
      <c r="D19" s="1" t="n">
        <f aca="false">C19+12</f>
        <v>18.1</v>
      </c>
      <c r="E19" s="1" t="n">
        <f aca="false">(D19-C19)/LN((273.15+D19)/(273.15+C19))-273.15</f>
        <v>12.0579266744054</v>
      </c>
      <c r="F19" s="1" t="n">
        <f aca="false">1-(273.15+E19)/(273.15+Base_Case_Group3!$B$6)</f>
        <v>0.205832649412519</v>
      </c>
      <c r="G19" s="1" t="n">
        <f aca="false">Base_Case_Group3!$B$10*F19</f>
        <v>0.10703297769451</v>
      </c>
      <c r="H19" s="1" t="n">
        <f aca="false">Base_Case_Group3!$B$16*G19</f>
        <v>4729.35948788843</v>
      </c>
      <c r="I19" s="1" t="n">
        <f aca="false">H19*B19*24/1000*$H$5</f>
        <v>3213.37302190775</v>
      </c>
    </row>
    <row r="20" customFormat="false" ht="15" hidden="false" customHeight="true" outlineLevel="0" collapsed="false">
      <c r="A20" s="15" t="s">
        <v>78</v>
      </c>
      <c r="I20" s="12" t="n">
        <f aca="false">SUM(I8:I19)</f>
        <v>33782.9696382233</v>
      </c>
    </row>
    <row r="21" customFormat="false" ht="15" hidden="false" customHeight="true" outlineLevel="0" collapsed="false">
      <c r="A21" s="15" t="s">
        <v>79</v>
      </c>
    </row>
    <row r="22" customFormat="false" ht="15" hidden="false" customHeight="true" outlineLevel="0" collapsed="false">
      <c r="A22" s="15" t="s">
        <v>80</v>
      </c>
    </row>
    <row r="23" customFormat="false" ht="15" hidden="false" customHeight="true" outlineLevel="0" collapsed="false">
      <c r="A23" s="15" t="s">
        <v>81</v>
      </c>
    </row>
  </sheetData>
  <mergeCells count="2">
    <mergeCell ref="A1:I1"/>
    <mergeCell ref="A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2026-06-30T14:59:48Z</dcterms:created>
  <dc:creator>Alessandro  Casasso</dc:creator>
  <dc:description/>
  <dc:language>en-US</dc:language>
  <cp:lastModifiedBy>Alessandro  Casasso</cp:lastModifiedBy>
  <dcterms:modified xsi:type="dcterms:W3CDTF">2026-07-01T12:28:59Z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