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se_Case_Group3" sheetId="1" state="visible" r:id="rId3"/>
    <sheet name="Monthly_Produ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<sst xmlns="http://schemas.openxmlformats.org/spreadsheetml/2006/main" count="89" uniqueCount="82">
  <si>
    <t xml:space="preserve">Symbol</t>
  </si>
  <si>
    <t xml:space="preserve">Value</t>
  </si>
  <si>
    <t xml:space="preserve">Unit</t>
  </si>
  <si>
    <t xml:space="preserve">Description</t>
  </si>
  <si>
    <t xml:space="preserve">edit values in yellow, not the other ones</t>
  </si>
  <si>
    <t xml:space="preserve">Tsource-in</t>
  </si>
  <si>
    <t xml:space="preserve">°C</t>
  </si>
  <si>
    <t xml:space="preserve">Temperature of the geothermal fluid from the production wells</t>
  </si>
  <si>
    <t xml:space="preserve">Group3: avg production T at t=100yr (FEFLOW result, see breakthrough curve F3)</t>
  </si>
  <si>
    <t xml:space="preserve">Tsource-out</t>
  </si>
  <si>
    <t xml:space="preserve">Reinjection temperature (generally 50-80°C, limited by silica scaling risk)</t>
  </si>
  <si>
    <t xml:space="preserve">Tcond-in</t>
  </si>
  <si>
    <t xml:space="preserve">Outdoor dry bulb temperature (annual mean, Volterra/Pomarance area, near Larderello)</t>
  </si>
  <si>
    <t xml:space="preserve">Tcond-out</t>
  </si>
  <si>
    <t xml:space="preserve">Outlet temperature in the air condenser (generally, 12-15°C higher than Tcond-in)</t>
  </si>
  <si>
    <t xml:space="preserve">LMTsource</t>
  </si>
  <si>
    <t xml:space="preserve">Log-mean temperature at source side</t>
  </si>
  <si>
    <t xml:space="preserve">LMTair</t>
  </si>
  <si>
    <t xml:space="preserve">Log-mean temperature at condenser side</t>
  </si>
  <si>
    <t xml:space="preserve">etaLorentz</t>
  </si>
  <si>
    <t xml:space="preserve">-</t>
  </si>
  <si>
    <t xml:space="preserve">Gross electrical efficiency of the ORC turbine - maximum theoretical value after Lorentz</t>
  </si>
  <si>
    <t xml:space="preserve">etaCarnot</t>
  </si>
  <si>
    <t xml:space="preserve">Gross electrical efficiency of the ORC turbine - maximum theoretical value after Carnot</t>
  </si>
  <si>
    <t xml:space="preserve">etaORC/etaLorentz</t>
  </si>
  <si>
    <t xml:space="preserve">% of the Lorentz efficiency achieved by the turbine - net value excluding own consumption</t>
  </si>
  <si>
    <t xml:space="preserve">etaORC</t>
  </si>
  <si>
    <t xml:space="preserve">Net electrical efficiency of the ORC turbine</t>
  </si>
  <si>
    <t xml:space="preserve">cP fluid</t>
  </si>
  <si>
    <t xml:space="preserve">kJ/kg/K</t>
  </si>
  <si>
    <t xml:space="preserve">Specific heat of the geothermal fluid (assume water values if you do not know)</t>
  </si>
  <si>
    <t xml:space="preserve">density fluid</t>
  </si>
  <si>
    <t xml:space="preserve">kg/l</t>
  </si>
  <si>
    <t xml:space="preserve">Density of the geothermal fluid (assume water values if you do not know)</t>
  </si>
  <si>
    <t xml:space="preserve">volumetric flow rate</t>
  </si>
  <si>
    <t xml:space="preserve">l/s</t>
  </si>
  <si>
    <t xml:space="preserve">Volumetric (l/s) and mass (kg/s) flow rate of the geothermal fluid (Group3: 5 x 30 l/s)</t>
  </si>
  <si>
    <t xml:space="preserve">mass flow rate</t>
  </si>
  <si>
    <t xml:space="preserve">kg/s</t>
  </si>
  <si>
    <t xml:space="preserve">Pth-source</t>
  </si>
  <si>
    <t xml:space="preserve">kW</t>
  </si>
  <si>
    <t xml:space="preserve">Thermal power extracted from the reservoir</t>
  </si>
  <si>
    <t xml:space="preserve">Pel</t>
  </si>
  <si>
    <t xml:space="preserve">Electrical power of the ORC turbine</t>
  </si>
  <si>
    <t xml:space="preserve">LF</t>
  </si>
  <si>
    <t xml:space="preserve">h/a</t>
  </si>
  <si>
    <t xml:space="preserve">Load factor of the ORC turbine</t>
  </si>
  <si>
    <t xml:space="preserve">Prod-el-year</t>
  </si>
  <si>
    <t xml:space="preserve">MWh/a</t>
  </si>
  <si>
    <t xml:space="preserve">Electrical production per year</t>
  </si>
  <si>
    <t xml:space="preserve">days of the month</t>
  </si>
  <si>
    <t xml:space="preserve">Prod-el-month</t>
  </si>
  <si>
    <t xml:space="preserve">MWh/month</t>
  </si>
  <si>
    <t xml:space="preserve">Electrical production per month</t>
  </si>
  <si>
    <t xml:space="preserve">Monthly electrical production — Group 3 (source: Base_Case_Group3 sheet, Tsource fixed)</t>
  </si>
  <si>
    <t xml:space="preserve">Outdoor temperature source: Volterra / Pomarance climate normals (near Larderello), climate-data.org, 1991-2021 avg.</t>
  </si>
  <si>
    <t xml:space="preserve">Availability factor (from Base_Case LF / 8760 h)</t>
  </si>
  <si>
    <t xml:space="preserve">Month</t>
  </si>
  <si>
    <t xml:space="preserve">Days</t>
  </si>
  <si>
    <t xml:space="preserve">T_outdoor avg [°C]</t>
  </si>
  <si>
    <t xml:space="preserve">Tcond-out [°C]</t>
  </si>
  <si>
    <t xml:space="preserve">LMTair [°C]</t>
  </si>
  <si>
    <t xml:space="preserve">eta_Lorentz [-]</t>
  </si>
  <si>
    <t xml:space="preserve">eta_ORC [-]</t>
  </si>
  <si>
    <t xml:space="preserve">Pel [kW]</t>
  </si>
  <si>
    <t xml:space="preserve">Prod-el-month [MWh]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</si>
  <si>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</si>
  <si>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</si>
  <si>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</si>
  <si>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</si>
  <si>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</si>
  <si>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</si>
  <si>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</si>
  <si>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</si>
  <si>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</si>
  <si>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</si>
  <si>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</si>
  <si>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</si>
  <si>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Notes:</t>
  </si>
  <si>
    <t xml:space="preserve">- Tsource-in, Tsource-out, cP, density, flow rate taken from Base_Case_Group3 sheet (fixed, do not vary seasonally in this model).</t>
  </si>
  <si>
    <t xml:space="preserve">- Availability factor applies the same total operating hours (LF, cell B18 in Base_Case) as the annual estimate, distributed pro-rata by days/month.</t>
  </si>
  <si>
    <t xml:space="preserve">- Yellow cells (T_outdoor avg) are editable; replace with your own monthly climate data source if desired.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</si>
</sst>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0.00%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DDEBF7"/>
        <bgColor rgb="FFCCFFFF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7.14"/>
    <col collapsed="false" customWidth="true" hidden="false" outlineLevel="0" max="3" min="3" style="0" width="11.86"/>
    <col collapsed="false" customWidth="true" hidden="false" outlineLevel="0" max="4" min="4" style="0" width="78.43"/>
    <col collapsed="false" customWidth="true" hidden="false" outlineLevel="0" max="5" min="5" style="0" width="36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2" t="n">
        <v>125</v>
      </c>
      <c r="C2" s="0" t="s">
        <v>6</v>
      </c>
      <c r="D2" s="0" t="s">
        <v>7</v>
      </c>
      <c r="E2" s="3" t="s">
        <v>8</v>
      </c>
    </row>
    <row r="3" customFormat="false" ht="15" hidden="false" customHeight="false" outlineLevel="0" collapsed="false">
      <c r="A3" s="0" t="s">
        <v>9</v>
      </c>
      <c r="B3" s="2" t="n">
        <v>50</v>
      </c>
      <c r="C3" s="0" t="s">
        <v>6</v>
      </c>
      <c r="D3" s="0" t="s">
        <v>10</v>
      </c>
    </row>
    <row r="4" customFormat="false" ht="15" hidden="false" customHeight="false" outlineLevel="0" collapsed="false">
      <c r="A4" s="0" t="s">
        <v>11</v>
      </c>
      <c r="B4" s="2" t="n">
        <v>14</v>
      </c>
      <c r="C4" s="0" t="s">
        <v>6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n">
        <f aca="false">B4+12</f>
        <v>26</v>
      </c>
      <c r="C5" s="0" t="s">
        <v>6</v>
      </c>
      <c r="D5" s="0" t="s">
        <v>14</v>
      </c>
    </row>
    <row r="6" customFormat="false" ht="15" hidden="false" customHeight="false" outlineLevel="0" collapsed="false">
      <c r="A6" s="0" t="s">
        <v>15</v>
      </c>
      <c r="B6" s="4" t="n">
        <f aca="false">(B2-B3)/LN((273.15+B2)/(273.15+B3))-273.15</f>
        <v>86.1964947738236</v>
      </c>
      <c r="C6" s="0" t="s">
        <v>6</v>
      </c>
      <c r="D6" s="0" t="s">
        <v>16</v>
      </c>
    </row>
    <row r="7" customFormat="false" ht="15" hidden="false" customHeight="false" outlineLevel="0" collapsed="false">
      <c r="A7" s="0" t="s">
        <v>17</v>
      </c>
      <c r="B7" s="4" t="n">
        <f aca="false">(B5-B4)/LN((273.15+B5)/(273.15+B4))-273.15</f>
        <v>19.9590607511086</v>
      </c>
      <c r="C7" s="0" t="s">
        <v>6</v>
      </c>
      <c r="D7" s="0" t="s">
        <v>18</v>
      </c>
    </row>
    <row r="8" customFormat="false" ht="15" hidden="false" customHeight="false" outlineLevel="0" collapsed="false">
      <c r="A8" s="0" t="s">
        <v>19</v>
      </c>
      <c r="B8" s="5" t="n">
        <f aca="false">1-(273.15+B7)/(273.15+B6)</f>
        <v>0.184327480540489</v>
      </c>
      <c r="C8" s="0" t="s">
        <v>20</v>
      </c>
      <c r="D8" s="0" t="s">
        <v>21</v>
      </c>
    </row>
    <row r="9" customFormat="false" ht="15" hidden="false" customHeight="false" outlineLevel="0" collapsed="false">
      <c r="A9" s="0" t="s">
        <v>22</v>
      </c>
      <c r="B9" s="5" t="n">
        <f aca="false">1-(273.15+B4)/(273.15+B2)</f>
        <v>0.27878940097953</v>
      </c>
      <c r="C9" s="0" t="s">
        <v>20</v>
      </c>
      <c r="D9" s="0" t="s">
        <v>23</v>
      </c>
    </row>
    <row r="10" customFormat="false" ht="15" hidden="false" customHeight="false" outlineLevel="0" collapsed="false">
      <c r="A10" s="0" t="s">
        <v>24</v>
      </c>
      <c r="B10" s="6" t="n">
        <v>0.52</v>
      </c>
      <c r="D10" s="0" t="s">
        <v>25</v>
      </c>
    </row>
    <row r="11" customFormat="false" ht="15" hidden="false" customHeight="false" outlineLevel="0" collapsed="false">
      <c r="A11" s="0" t="s">
        <v>26</v>
      </c>
      <c r="B11" s="7" t="n">
        <f aca="false">B10*B8</f>
        <v>0.0958502898810545</v>
      </c>
      <c r="D11" s="0" t="s">
        <v>27</v>
      </c>
    </row>
    <row r="12" customFormat="false" ht="15" hidden="false" customHeight="false" outlineLevel="0" collapsed="false">
      <c r="A12" s="0" t="s">
        <v>28</v>
      </c>
      <c r="B12" s="2" t="n">
        <v>4.31</v>
      </c>
      <c r="C12" s="0" t="s">
        <v>29</v>
      </c>
      <c r="D12" s="0" t="s">
        <v>30</v>
      </c>
    </row>
    <row r="13" customFormat="false" ht="15" hidden="false" customHeight="false" outlineLevel="0" collapsed="false">
      <c r="A13" s="0" t="s">
        <v>31</v>
      </c>
      <c r="B13" s="2" t="n">
        <v>0.917</v>
      </c>
      <c r="C13" s="0" t="s">
        <v>32</v>
      </c>
      <c r="D13" s="0" t="s">
        <v>33</v>
      </c>
    </row>
    <row r="14" customFormat="false" ht="15" hidden="false" customHeight="false" outlineLevel="0" collapsed="false">
      <c r="A14" s="0" t="s">
        <v>34</v>
      </c>
      <c r="B14" s="2" t="n">
        <v>150</v>
      </c>
      <c r="C14" s="0" t="s">
        <v>35</v>
      </c>
      <c r="D14" s="8" t="s">
        <v>36</v>
      </c>
    </row>
    <row r="15" customFormat="false" ht="15" hidden="false" customHeight="false" outlineLevel="0" collapsed="false">
      <c r="A15" s="0" t="s">
        <v>37</v>
      </c>
      <c r="B15" s="0" t="n">
        <f aca="false">B14*B13</f>
        <v>137.55</v>
      </c>
      <c r="C15" s="0" t="s">
        <v>38</v>
      </c>
      <c r="D15" s="8"/>
    </row>
    <row r="16" customFormat="false" ht="15" hidden="false" customHeight="false" outlineLevel="0" collapsed="false">
      <c r="A16" s="0" t="s">
        <v>39</v>
      </c>
      <c r="B16" s="0" t="n">
        <f aca="false">B15*B12*(B2-B3)</f>
        <v>44463.0375</v>
      </c>
      <c r="C16" s="0" t="s">
        <v>40</v>
      </c>
      <c r="D16" s="0" t="s">
        <v>41</v>
      </c>
    </row>
    <row r="17" customFormat="false" ht="15" hidden="false" customHeight="false" outlineLevel="0" collapsed="false">
      <c r="A17" s="0" t="s">
        <v>42</v>
      </c>
      <c r="B17" s="3" t="n">
        <f aca="false">B16*B11</f>
        <v>4261.7950333672</v>
      </c>
      <c r="C17" s="0" t="s">
        <v>40</v>
      </c>
      <c r="D17" s="0" t="s">
        <v>43</v>
      </c>
    </row>
    <row r="18" customFormat="false" ht="15" hidden="false" customHeight="false" outlineLevel="0" collapsed="false">
      <c r="A18" s="0" t="s">
        <v>44</v>
      </c>
      <c r="B18" s="0" t="n">
        <v>8000</v>
      </c>
      <c r="C18" s="0" t="s">
        <v>45</v>
      </c>
      <c r="D18" s="0" t="s">
        <v>46</v>
      </c>
    </row>
    <row r="19" customFormat="false" ht="15" hidden="false" customHeight="false" outlineLevel="0" collapsed="false">
      <c r="A19" s="0" t="s">
        <v>47</v>
      </c>
      <c r="B19" s="3" t="n">
        <f aca="false">B17*B18/1000</f>
        <v>34094.3602669376</v>
      </c>
      <c r="C19" s="0" t="s">
        <v>48</v>
      </c>
      <c r="D19" s="0" t="s">
        <v>49</v>
      </c>
    </row>
    <row r="20" customFormat="false" ht="15" hidden="false" customHeight="false" outlineLevel="0" collapsed="false">
      <c r="A20" s="0" t="s">
        <v>50</v>
      </c>
      <c r="B20" s="0" t="n">
        <v>31</v>
      </c>
    </row>
    <row r="21" customFormat="false" ht="15" hidden="false" customHeight="false" outlineLevel="0" collapsed="false">
      <c r="A21" s="0" t="s">
        <v>51</v>
      </c>
      <c r="B21" s="3" t="n">
        <f aca="false">B17*B20*24/1000</f>
        <v>3170.77550482519</v>
      </c>
      <c r="C21" s="0" t="s">
        <v>52</v>
      </c>
      <c r="D21" s="0" t="s">
        <v>53</v>
      </c>
    </row>
  </sheetData>
  <mergeCells count="1">
    <mergeCell ref="D14:D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9" t="s">
        <v>54</v>
      </c>
      <c r="B1" s="9"/>
      <c r="C1" s="9"/>
      <c r="D1" s="9"/>
      <c r="E1" s="9"/>
      <c r="F1" s="9"/>
      <c r="G1" s="9"/>
      <c r="H1" s="9"/>
      <c r="I1" s="9"/>
    </row>
    <row r="3" customFormat="false" ht="15" hidden="false" customHeight="false" outlineLevel="0" collapsed="false">
      <c r="A3" s="10" t="s">
        <v>55</v>
      </c>
      <c r="B3" s="10"/>
      <c r="C3" s="10"/>
      <c r="D3" s="10"/>
      <c r="E3" s="10"/>
      <c r="F3" s="10"/>
      <c r="G3" s="10"/>
      <c r="H3" s="10"/>
      <c r="I3" s="10"/>
    </row>
    <row r="5" customFormat="false" ht="15" hidden="false" customHeight="false" outlineLevel="0" collapsed="false">
      <c r="A5" s="11" t="s">
        <v>56</v>
      </c>
      <c r="H5" s="0" t="n">
        <f aca="false">Base_Case_Group3!B18/8760</f>
        <v>0.91324200913242</v>
      </c>
    </row>
    <row r="7" customFormat="false" ht="26.85" hidden="false" customHeight="false" outlineLevel="0" collapsed="false">
      <c r="A7" s="12" t="s">
        <v>57</v>
      </c>
      <c r="B7" s="12" t="s">
        <v>58</v>
      </c>
      <c r="C7" s="12" t="s">
        <v>59</v>
      </c>
      <c r="D7" s="12" t="s">
        <v>60</v>
      </c>
      <c r="E7" s="12" t="s">
        <v>61</v>
      </c>
      <c r="F7" s="12" t="s">
        <v>62</v>
      </c>
      <c r="G7" s="12" t="s">
        <v>63</v>
      </c>
      <c r="H7" s="12" t="s">
        <v>64</v>
      </c>
      <c r="I7" s="12" t="s">
        <v>65</v>
      </c>
    </row>
    <row r="8" customFormat="false" ht="15" hidden="false" customHeight="false" outlineLevel="0" collapsed="false">
      <c r="A8" s="0" t="s">
        <v>66</v>
      </c>
      <c r="B8" s="0" t="n">
        <v>31</v>
      </c>
      <c r="C8" s="13" t="n">
        <v>5</v>
      </c>
      <c r="D8" s="0" t="n">
        <f aca="false">C8+12</f>
        <v>17</v>
      </c>
      <c r="E8" s="0" t="n">
        <f aca="false">(D8-C8)/LN((273.15+D8)/(273.15+C8))-273.15</f>
        <v>10.9577637616966</v>
      </c>
      <c r="F8" s="0" t="n">
        <f aca="false">1-(273.15+E8)/(273.15+Base_Case_Group3!$B$6)</f>
        <v>0.209376554680137</v>
      </c>
      <c r="G8" s="0" t="n">
        <f aca="false">Base_Case_Group3!$B$10*F8</f>
        <v>0.108875808433671</v>
      </c>
      <c r="H8" s="0" t="n">
        <f aca="false">Base_Case_Group3!$B$16*G8</f>
        <v>4840.94915322914</v>
      </c>
      <c r="I8" s="0" t="n">
        <f aca="false">H8*B8*24/1000*$H$5</f>
        <v>3289.19284931733</v>
      </c>
    </row>
    <row r="9" customFormat="false" ht="15" hidden="false" customHeight="false" outlineLevel="0" collapsed="false">
      <c r="A9" s="0" t="s">
        <v>67</v>
      </c>
      <c r="B9" s="0" t="n">
        <v>28</v>
      </c>
      <c r="C9" s="13" t="n">
        <v>5.7</v>
      </c>
      <c r="D9" s="0" t="n">
        <f aca="false">C9+12</f>
        <v>17.7</v>
      </c>
      <c r="E9" s="0" t="n">
        <f aca="false">(D9-C9)/LN((273.15+D9)/(273.15+C9))-273.15</f>
        <v>11.6578675790533</v>
      </c>
      <c r="F9" s="0" t="n">
        <f aca="false">1-(273.15+E9)/(273.15+Base_Case_Group3!$B$6)</f>
        <v>0.207428285175526</v>
      </c>
      <c r="G9" s="0" t="n">
        <f aca="false">Base_Case_Group3!$B$10*F9</f>
        <v>0.107862708291273</v>
      </c>
      <c r="H9" s="0" t="n">
        <f aca="false">Base_Case_Group3!$B$16*G9</f>
        <v>4795.90364360645</v>
      </c>
      <c r="I9" s="0" t="n">
        <f aca="false">H9*B9*24/1000*$H$5</f>
        <v>2943.23949635026</v>
      </c>
    </row>
    <row r="10" customFormat="false" ht="15" hidden="false" customHeight="false" outlineLevel="0" collapsed="false">
      <c r="A10" s="0" t="s">
        <v>68</v>
      </c>
      <c r="B10" s="0" t="n">
        <v>31</v>
      </c>
      <c r="C10" s="13" t="n">
        <v>9</v>
      </c>
      <c r="D10" s="0" t="n">
        <f aca="false">C10+12</f>
        <v>21</v>
      </c>
      <c r="E10" s="0" t="n">
        <f aca="false">(D10-C10)/LN((273.15+D10)/(273.15+C10))-273.15</f>
        <v>14.9583502073273</v>
      </c>
      <c r="F10" s="0" t="n">
        <f aca="false">1-(273.15+E10)/(273.15+Base_Case_Group3!$B$6)</f>
        <v>0.198243604995603</v>
      </c>
      <c r="G10" s="0" t="n">
        <f aca="false">Base_Case_Group3!$B$10*F10</f>
        <v>0.103086674597713</v>
      </c>
      <c r="H10" s="0" t="n">
        <f aca="false">Base_Case_Group3!$B$16*G10</f>
        <v>4583.54667838843</v>
      </c>
      <c r="I10" s="0" t="n">
        <f aca="false">H10*B10*24/1000*$H$5</f>
        <v>3114.30020887762</v>
      </c>
    </row>
    <row r="11" customFormat="false" ht="15" hidden="false" customHeight="false" outlineLevel="0" collapsed="false">
      <c r="A11" s="0" t="s">
        <v>69</v>
      </c>
      <c r="B11" s="0" t="n">
        <v>30</v>
      </c>
      <c r="C11" s="13" t="n">
        <v>12.5</v>
      </c>
      <c r="D11" s="0" t="n">
        <f aca="false">C11+12</f>
        <v>24.5</v>
      </c>
      <c r="E11" s="0" t="n">
        <f aca="false">(D11-C11)/LN((273.15+D11)/(273.15+C11))-273.15</f>
        <v>18.4588501469475</v>
      </c>
      <c r="F11" s="0" t="n">
        <f aca="false">1-(273.15+E11)/(273.15+Base_Case_Group3!$B$6)</f>
        <v>0.188502310755837</v>
      </c>
      <c r="G11" s="0" t="n">
        <f aca="false">Base_Case_Group3!$B$10*F11</f>
        <v>0.0980212015930353</v>
      </c>
      <c r="H11" s="0" t="n">
        <f aca="false">Base_Case_Group3!$B$16*G11</f>
        <v>4358.32036222619</v>
      </c>
      <c r="I11" s="0" t="n">
        <f aca="false">H11*B11*24/1000*$H$5</f>
        <v>2865.74489571037</v>
      </c>
    </row>
    <row r="12" customFormat="false" ht="15" hidden="false" customHeight="false" outlineLevel="0" collapsed="false">
      <c r="A12" s="0" t="s">
        <v>70</v>
      </c>
      <c r="B12" s="0" t="n">
        <v>31</v>
      </c>
      <c r="C12" s="13" t="n">
        <v>16.5</v>
      </c>
      <c r="D12" s="0" t="n">
        <f aca="false">C12+12</f>
        <v>28.5</v>
      </c>
      <c r="E12" s="0" t="n">
        <f aca="false">(D12-C12)/LN((273.15+D12)/(273.15+C12))-273.15</f>
        <v>22.4594070075169</v>
      </c>
      <c r="F12" s="0" t="n">
        <f aca="false">1-(273.15+E12)/(273.15+Base_Case_Group3!$B$6)</f>
        <v>0.177369443401482</v>
      </c>
      <c r="G12" s="0" t="n">
        <f aca="false">Base_Case_Group3!$B$10*F12</f>
        <v>0.0922321105687707</v>
      </c>
      <c r="H12" s="0" t="n">
        <f aca="false">Base_Case_Group3!$B$16*G12</f>
        <v>4100.9197909234</v>
      </c>
      <c r="I12" s="0" t="n">
        <f aca="false">H12*B12*24/1000*$H$5</f>
        <v>2786.37837849042</v>
      </c>
    </row>
    <row r="13" customFormat="false" ht="15" hidden="false" customHeight="false" outlineLevel="0" collapsed="false">
      <c r="A13" s="0" t="s">
        <v>71</v>
      </c>
      <c r="B13" s="0" t="n">
        <v>30</v>
      </c>
      <c r="C13" s="13" t="n">
        <v>21</v>
      </c>
      <c r="D13" s="0" t="n">
        <f aca="false">C13+12</f>
        <v>33</v>
      </c>
      <c r="E13" s="0" t="n">
        <f aca="false">(D13-C13)/LN((273.15+D13)/(273.15+C13))-273.15</f>
        <v>26.9600157288402</v>
      </c>
      <c r="F13" s="0" t="n">
        <f aca="false">1-(273.15+E13)/(273.15+Base_Case_Group3!$B$6)</f>
        <v>0.164845017014198</v>
      </c>
      <c r="G13" s="0" t="n">
        <f aca="false">Base_Case_Group3!$B$10*F13</f>
        <v>0.0857194088473831</v>
      </c>
      <c r="H13" s="0" t="n">
        <f aca="false">Base_Case_Group3!$B$16*G13</f>
        <v>3811.34529005902</v>
      </c>
      <c r="I13" s="0" t="n">
        <f aca="false">H13*B13*24/1000*$H$5</f>
        <v>2506.09005373744</v>
      </c>
    </row>
    <row r="14" customFormat="false" ht="15" hidden="false" customHeight="false" outlineLevel="0" collapsed="false">
      <c r="A14" s="0" t="s">
        <v>72</v>
      </c>
      <c r="B14" s="0" t="n">
        <v>31</v>
      </c>
      <c r="C14" s="13" t="n">
        <v>23.7</v>
      </c>
      <c r="D14" s="0" t="n">
        <f aca="false">C14+12</f>
        <v>35.7</v>
      </c>
      <c r="E14" s="0" t="n">
        <f aca="false">(D14-C14)/LN((273.15+D14)/(273.15+C14))-273.15</f>
        <v>29.660372275778</v>
      </c>
      <c r="F14" s="0" t="n">
        <f aca="false">1-(273.15+E14)/(273.15+Base_Case_Group3!$B$6)</f>
        <v>0.157330385353084</v>
      </c>
      <c r="G14" s="0" t="n">
        <f aca="false">Base_Case_Group3!$B$10*F14</f>
        <v>0.0818118003836036</v>
      </c>
      <c r="H14" s="0" t="n">
        <f aca="false">Base_Case_Group3!$B$16*G14</f>
        <v>3637.60114839868</v>
      </c>
      <c r="I14" s="0" t="n">
        <f aca="false">H14*B14*24/1000*$H$5</f>
        <v>2471.57557480239</v>
      </c>
    </row>
    <row r="15" customFormat="false" ht="15" hidden="false" customHeight="false" outlineLevel="0" collapsed="false">
      <c r="A15" s="0" t="s">
        <v>73</v>
      </c>
      <c r="B15" s="0" t="n">
        <v>31</v>
      </c>
      <c r="C15" s="13" t="n">
        <v>23.7</v>
      </c>
      <c r="D15" s="0" t="n">
        <f aca="false">C15+12</f>
        <v>35.7</v>
      </c>
      <c r="E15" s="0" t="n">
        <f aca="false">(D15-C15)/LN((273.15+D15)/(273.15+C15))-273.15</f>
        <v>29.660372275778</v>
      </c>
      <c r="F15" s="0" t="n">
        <f aca="false">1-(273.15+E15)/(273.15+Base_Case_Group3!$B$6)</f>
        <v>0.157330385353084</v>
      </c>
      <c r="G15" s="0" t="n">
        <f aca="false">Base_Case_Group3!$B$10*F15</f>
        <v>0.0818118003836036</v>
      </c>
      <c r="H15" s="0" t="n">
        <f aca="false">Base_Case_Group3!$B$16*G15</f>
        <v>3637.60114839868</v>
      </c>
      <c r="I15" s="0" t="n">
        <f aca="false">H15*B15*24/1000*$H$5</f>
        <v>2471.57557480239</v>
      </c>
    </row>
    <row r="16" customFormat="false" ht="15" hidden="false" customHeight="false" outlineLevel="0" collapsed="false">
      <c r="A16" s="0" t="s">
        <v>74</v>
      </c>
      <c r="B16" s="0" t="n">
        <v>30</v>
      </c>
      <c r="C16" s="13" t="n">
        <v>19.2</v>
      </c>
      <c r="D16" s="0" t="n">
        <f aca="false">C16+12</f>
        <v>31.2</v>
      </c>
      <c r="E16" s="0" t="n">
        <f aca="false">(D16-C16)/LN((273.15+D16)/(273.15+C16))-273.15</f>
        <v>25.1597744445407</v>
      </c>
      <c r="F16" s="0" t="n">
        <f aca="false">1-(273.15+E16)/(273.15+Base_Case_Group3!$B$6)</f>
        <v>0.169854781435116</v>
      </c>
      <c r="G16" s="0" t="n">
        <f aca="false">Base_Case_Group3!$B$10*F16</f>
        <v>0.0883244863462604</v>
      </c>
      <c r="H16" s="0" t="n">
        <f aca="false">Base_Case_Group3!$B$16*G16</f>
        <v>3927.17494858201</v>
      </c>
      <c r="I16" s="0" t="n">
        <f aca="false">H16*B16*24/1000*$H$5</f>
        <v>2582.25202098543</v>
      </c>
    </row>
    <row r="17" customFormat="false" ht="15" hidden="false" customHeight="false" outlineLevel="0" collapsed="false">
      <c r="A17" s="0" t="s">
        <v>75</v>
      </c>
      <c r="B17" s="0" t="n">
        <v>31</v>
      </c>
      <c r="C17" s="13" t="n">
        <v>15</v>
      </c>
      <c r="D17" s="0" t="n">
        <f aca="false">C17+12</f>
        <v>27</v>
      </c>
      <c r="E17" s="0" t="n">
        <f aca="false">(D17-C17)/LN((273.15+D17)/(273.15+C17))-273.15</f>
        <v>20.9591999601927</v>
      </c>
      <c r="F17" s="0" t="n">
        <f aca="false">1-(273.15+E17)/(273.15+Base_Case_Group3!$B$6)</f>
        <v>0.18154426371876</v>
      </c>
      <c r="G17" s="0" t="n">
        <f aca="false">Base_Case_Group3!$B$10*F17</f>
        <v>0.094403017133755</v>
      </c>
      <c r="H17" s="0" t="n">
        <f aca="false">Base_Case_Group3!$B$16*G17</f>
        <v>4197.44489093129</v>
      </c>
      <c r="I17" s="0" t="n">
        <f aca="false">H17*B17*24/1000*$H$5</f>
        <v>2851.96255603003</v>
      </c>
    </row>
    <row r="18" customFormat="false" ht="15" hidden="false" customHeight="false" outlineLevel="0" collapsed="false">
      <c r="A18" s="0" t="s">
        <v>76</v>
      </c>
      <c r="B18" s="0" t="n">
        <v>30</v>
      </c>
      <c r="C18" s="13" t="n">
        <v>10.2</v>
      </c>
      <c r="D18" s="0" t="n">
        <f aca="false">C18+12</f>
        <v>22.2</v>
      </c>
      <c r="E18" s="0" t="n">
        <f aca="false">(D18-C18)/LN((273.15+D18)/(273.15+C18))-273.15</f>
        <v>16.1585229781612</v>
      </c>
      <c r="F18" s="0" t="n">
        <f aca="false">1-(273.15+E18)/(273.15+Base_Case_Group3!$B$6)</f>
        <v>0.194903728891929</v>
      </c>
      <c r="G18" s="0" t="n">
        <f aca="false">Base_Case_Group3!$B$10*F18</f>
        <v>0.101349939023803</v>
      </c>
      <c r="H18" s="0" t="n">
        <f aca="false">Base_Case_Group3!$B$16*G18</f>
        <v>4506.32613943808</v>
      </c>
      <c r="I18" s="0" t="n">
        <f aca="false">H18*B18*24/1000*$H$5</f>
        <v>2963.06376291819</v>
      </c>
    </row>
    <row r="19" customFormat="false" ht="15" hidden="false" customHeight="false" outlineLevel="0" collapsed="false">
      <c r="A19" s="0" t="s">
        <v>77</v>
      </c>
      <c r="B19" s="0" t="n">
        <v>31</v>
      </c>
      <c r="C19" s="13" t="n">
        <v>6.1</v>
      </c>
      <c r="D19" s="0" t="n">
        <f aca="false">C19+12</f>
        <v>18.1</v>
      </c>
      <c r="E19" s="0" t="n">
        <f aca="false">(D19-C19)/LN((273.15+D19)/(273.15+C19))-273.15</f>
        <v>12.0579266744054</v>
      </c>
      <c r="F19" s="0" t="n">
        <f aca="false">1-(273.15+E19)/(273.15+Base_Case_Group3!$B$6)</f>
        <v>0.206314988952603</v>
      </c>
      <c r="G19" s="0" t="n">
        <f aca="false">Base_Case_Group3!$B$10*F19</f>
        <v>0.107283794255354</v>
      </c>
      <c r="H19" s="0" t="n">
        <f aca="false">Base_Case_Group3!$B$16*G19</f>
        <v>4770.16336711808</v>
      </c>
      <c r="I19" s="0" t="n">
        <f aca="false">H19*B19*24/1000*$H$5</f>
        <v>3241.09730149393</v>
      </c>
    </row>
    <row r="20" customFormat="false" ht="15" hidden="false" customHeight="false" outlineLevel="0" collapsed="false">
      <c r="A20" s="14" t="s">
        <v>78</v>
      </c>
      <c r="I20" s="11" t="n">
        <f aca="false">SUM(I8:I19)</f>
        <v>34086.4726735158</v>
      </c>
    </row>
    <row r="21" customFormat="false" ht="15" hidden="false" customHeight="false" outlineLevel="0" collapsed="false">
      <c r="A21" s="14" t="s">
        <v>79</v>
      </c>
    </row>
    <row r="22" customFormat="false" ht="15" hidden="false" customHeight="false" outlineLevel="0" collapsed="false">
      <c r="A22" s="14" t="s">
        <v>80</v>
      </c>
    </row>
    <row r="23" customFormat="false" ht="15" hidden="false" customHeight="false" outlineLevel="0" collapsed="false">
      <c r="A23" s="14" t="s">
        <v>81</v>
      </c>
    </row>
  </sheetData>
  <mergeCells count="2">
    <mergeCell ref="A1:I1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2026-06-30T14:59:48Z</dcterms:created>
  <dc:creator>Alessandro  Casasso</dc:creator>
  <dc:description/>
  <dc:language>en-US</dc:language>
  <cp:lastModifiedBy>Alessandro  Casasso</cp:lastModifiedBy>
  <dcterms:modified xsi:type="dcterms:W3CDTF">2026-07-01T07:00:14Z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