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BIP\update\Group3_automation\economics\"/>
    </mc:Choice>
  </mc:AlternateContent>
  <xr:revisionPtr revIDLastSave="0" documentId="13_ncr:1_{EBDEB70B-F3EF-400C-94AD-273ABAC41378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Assumptions" sheetId="1" r:id="rId1"/>
    <sheet name="CAPEX_Group3" sheetId="2" r:id="rId2"/>
    <sheet name="LCOE_Group3" sheetId="3" r:id="rId3"/>
    <sheet name="Sensitivity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0" i="3" l="1"/>
  <c r="B8" i="3"/>
  <c r="B5" i="3"/>
  <c r="D17" i="2"/>
  <c r="E17" i="2" s="1"/>
  <c r="D16" i="2"/>
  <c r="C16" i="2"/>
  <c r="E16" i="2" s="1"/>
  <c r="D15" i="2"/>
  <c r="C15" i="2"/>
  <c r="E15" i="2" s="1"/>
  <c r="D14" i="2"/>
  <c r="E14" i="2" s="1"/>
  <c r="E13" i="2"/>
  <c r="D13" i="2"/>
  <c r="D12" i="2"/>
  <c r="D11" i="2"/>
  <c r="E11" i="2" s="1"/>
  <c r="D10" i="2"/>
  <c r="D9" i="2"/>
  <c r="C9" i="2"/>
  <c r="E9" i="2" s="1"/>
  <c r="E8" i="2"/>
  <c r="D8" i="2"/>
  <c r="C8" i="2"/>
  <c r="D7" i="2"/>
  <c r="C7" i="2"/>
  <c r="E7" i="2" s="1"/>
  <c r="B4" i="2"/>
  <c r="C12" i="2" s="1"/>
  <c r="E12" i="2" s="1"/>
  <c r="B34" i="1"/>
  <c r="B7" i="3" s="1"/>
  <c r="B31" i="1"/>
  <c r="B9" i="3" s="1"/>
  <c r="B7" i="1"/>
  <c r="C10" i="2" s="1"/>
  <c r="E10" i="2" s="1"/>
  <c r="K9" i="4"/>
  <c r="I9" i="4"/>
  <c r="G9" i="4"/>
  <c r="E9" i="4"/>
  <c r="B9" i="4"/>
  <c r="C9" i="4" s="1"/>
  <c r="K8" i="4"/>
  <c r="I8" i="4"/>
  <c r="G8" i="4"/>
  <c r="E8" i="4"/>
  <c r="B8" i="4"/>
  <c r="C8" i="4" s="1"/>
  <c r="B7" i="4"/>
  <c r="K6" i="4"/>
  <c r="I6" i="4"/>
  <c r="G6" i="4"/>
  <c r="E6" i="4"/>
  <c r="B6" i="4"/>
  <c r="C6" i="4" s="1"/>
  <c r="K5" i="4"/>
  <c r="I5" i="4"/>
  <c r="G5" i="4"/>
  <c r="E5" i="4"/>
  <c r="B5" i="4"/>
  <c r="C5" i="4" s="1"/>
  <c r="E18" i="2" l="1"/>
  <c r="B20" i="2" l="1"/>
  <c r="B4" i="3"/>
  <c r="B6" i="3" s="1"/>
  <c r="B12" i="3" s="1"/>
  <c r="F10" i="2"/>
  <c r="F11" i="2"/>
  <c r="F12" i="2"/>
  <c r="F15" i="2"/>
  <c r="F9" i="2"/>
  <c r="F17" i="2"/>
  <c r="F14" i="2"/>
  <c r="F7" i="2"/>
  <c r="F8" i="2"/>
  <c r="F13" i="2"/>
  <c r="F16" i="2"/>
  <c r="K7" i="4" l="1"/>
  <c r="I7" i="4"/>
  <c r="G7" i="4"/>
  <c r="C7" i="4"/>
  <c r="E7" i="4"/>
</calcChain>
</file>

<file path=xl/sharedStrings.xml><?xml version="1.0" encoding="utf-8"?>
<sst xmlns="http://schemas.openxmlformats.org/spreadsheetml/2006/main" count="126" uniqueCount="106">
  <si>
    <t>Economic Assessment — Group 3 geothermal binary plant</t>
  </si>
  <si>
    <t>Unit costs derived from Dr. Luca Xodo's lecture (Zero-Emission Binary example, slide 75-79); quantities scaled to Group 3's plant.</t>
  </si>
  <si>
    <t>PLANT / WELLFIELD DATA (Group 3)</t>
  </si>
  <si>
    <t>Production wells</t>
  </si>
  <si>
    <t>n</t>
  </si>
  <si>
    <t>5+5 doublet configuration (FEFLOW tutorial layout)</t>
  </si>
  <si>
    <t>Injection wells</t>
  </si>
  <si>
    <t>Total wells</t>
  </si>
  <si>
    <t>Well pads</t>
  </si>
  <si>
    <t>1 production pad + 1 injection pad (wells clustered by welldata X,Y)</t>
  </si>
  <si>
    <t>Well depth (bottom of screen)</t>
  </si>
  <si>
    <t>m</t>
  </si>
  <si>
    <t>geoth_tutorial_data_Group3.xlsx &gt; welldata</t>
  </si>
  <si>
    <t>Net electrical power (Pel)</t>
  </si>
  <si>
    <t>kW</t>
  </si>
  <si>
    <t>from ORC_Group3.xlsx &gt; Base_Case_Group3!B17</t>
  </si>
  <si>
    <t>Average Production Temperature (°C)</t>
  </si>
  <si>
    <t>°C</t>
  </si>
  <si>
    <t>Validated FEFLOW post-processing output (Stage 12), t = 100 yr; see ../outputs/Average_Production_Temperature.csv, ../figures/F8_average_production_temperature.png</t>
  </si>
  <si>
    <t>UNIT COSTS (from Xodo lecture, Zero-Emission Binary CAPEX table)</t>
  </si>
  <si>
    <t>Land acquisition</t>
  </si>
  <si>
    <t>€/ha</t>
  </si>
  <si>
    <t>EPC of well pad</t>
  </si>
  <si>
    <t>€/pad</t>
  </si>
  <si>
    <t>Design &amp; management per well</t>
  </si>
  <si>
    <t>€/well</t>
  </si>
  <si>
    <t>Well drilling &amp; testing (unit cost/m)</t>
  </si>
  <si>
    <t>€/m</t>
  </si>
  <si>
    <t>Scaled from Xodo reference example (2,500 m, &gt;250 degC); linear depth-scaling assumption applied to Group 3 (1,120 m wells)</t>
  </si>
  <si>
    <t>Long production testing</t>
  </si>
  <si>
    <t>€ (lump)</t>
  </si>
  <si>
    <t>EPC of power plant</t>
  </si>
  <si>
    <t>€/MWg</t>
  </si>
  <si>
    <t>Substation &amp; grid connection</t>
  </si>
  <si>
    <t>Gathering system design &amp; mgmt</t>
  </si>
  <si>
    <t>Well pumps</t>
  </si>
  <si>
    <t>€/well (production wells)</t>
  </si>
  <si>
    <t>Piping &amp; equipment</t>
  </si>
  <si>
    <t>€/wellpad</t>
  </si>
  <si>
    <t>Permitting &amp; surface exploration</t>
  </si>
  <si>
    <t>Land area assumed</t>
  </si>
  <si>
    <t>ha</t>
  </si>
  <si>
    <t>same as Xodo example (2 wellpads)</t>
  </si>
  <si>
    <t>ORC plant auxiliaries (gross-&gt;net)</t>
  </si>
  <si>
    <t>-</t>
  </si>
  <si>
    <t>assumption, matches Xodo binary example</t>
  </si>
  <si>
    <t>FINANCIAL PARAMETERS (Xodo Business Plan defaults)</t>
  </si>
  <si>
    <t>Discount rate (i)</t>
  </si>
  <si>
    <t>Plant useful life (n)</t>
  </si>
  <si>
    <t>years</t>
  </si>
  <si>
    <t>Capacity factor (CF)</t>
  </si>
  <si>
    <t>8,322 h/yr availability</t>
  </si>
  <si>
    <t>Availability</t>
  </si>
  <si>
    <t>h/yr</t>
  </si>
  <si>
    <t>Variable O&amp;M cost</t>
  </si>
  <si>
    <t>€/MWh</t>
  </si>
  <si>
    <t>Fixed O&amp;M cost</t>
  </si>
  <si>
    <t>€/kW-yr</t>
  </si>
  <si>
    <t>assumption per lecture</t>
  </si>
  <si>
    <t>Capital Recovery Factor (CRF)</t>
  </si>
  <si>
    <t>CRF = i(1+i)^n / ((1+i)^n - 1)</t>
  </si>
  <si>
    <t>CAPEX Breakdown — Group 3 Geothermal Binary Plant</t>
  </si>
  <si>
    <t>Structure and unit costs from Xodo lecture (Zero-Emission Binary example); quantities from Assumptions sheet.</t>
  </si>
  <si>
    <t>Gross plant capacity (MWg)</t>
  </si>
  <si>
    <t>Task</t>
  </si>
  <si>
    <t>Unit</t>
  </si>
  <si>
    <t>Quantity</t>
  </si>
  <si>
    <t>Unit cost [€]</t>
  </si>
  <si>
    <t>Total cost [€]</t>
  </si>
  <si>
    <t>% of total</t>
  </si>
  <si>
    <t>Land acquisition and preparation</t>
  </si>
  <si>
    <t>EPC of well pads</t>
  </si>
  <si>
    <t>Design &amp; management (all wells)</t>
  </si>
  <si>
    <t>Well drilling &amp; testing</t>
  </si>
  <si>
    <t>m (total)</t>
  </si>
  <si>
    <t>lump</t>
  </si>
  <si>
    <t>EPC of the power plant</t>
  </si>
  <si>
    <t>MWg</t>
  </si>
  <si>
    <t>Substation and grid connection</t>
  </si>
  <si>
    <t>Gathering: design &amp; management</t>
  </si>
  <si>
    <t>Gathering: well pumps</t>
  </si>
  <si>
    <t>n (prod. wells)</t>
  </si>
  <si>
    <t>Gathering: piping &amp; equipment</t>
  </si>
  <si>
    <t>per wellpad</t>
  </si>
  <si>
    <t>Permitting and surface exploration</t>
  </si>
  <si>
    <t>TOTAL CAPEX</t>
  </si>
  <si>
    <t>CAPEX per kW net installed</t>
  </si>
  <si>
    <t>Simplified LCOE — Group 3</t>
  </si>
  <si>
    <t>sLCOE = (CAPEX/kW x CRF + Fixed O&amp;M) / (8760 x CF) x 1000 + Variable O&amp;M   [Xodo lecture, based on NREL simplified LCOE]</t>
  </si>
  <si>
    <t>Total CAPEX</t>
  </si>
  <si>
    <t>Net electrical power</t>
  </si>
  <si>
    <t>CAPEX per kW</t>
  </si>
  <si>
    <t>LCOE</t>
  </si>
  <si>
    <t>Sensitivity Analysis — LCOE Spider Diagram (Group 3)</t>
  </si>
  <si>
    <t>Each parameter varied ±20%/±10% independently, all others held at base case. LMTair (condenser side) held fixed at base-case value (19.959 °C).</t>
  </si>
  <si>
    <t>Variation</t>
  </si>
  <si>
    <t>T_source-in [°C]</t>
  </si>
  <si>
    <t>LCOE (Tin)</t>
  </si>
  <si>
    <t>T_source-out [°C]</t>
  </si>
  <si>
    <t>LCOE (Tout)</t>
  </si>
  <si>
    <t>Flow rate [l/s]</t>
  </si>
  <si>
    <t>LCOE (Flow)</t>
  </si>
  <si>
    <t>Well depth [m]</t>
  </si>
  <si>
    <t>LCOE (Depth)</t>
  </si>
  <si>
    <t>Drilling cost [€/m]</t>
  </si>
  <si>
    <t>LCOE (DrillCost)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</si>
</sst>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0.0000"/>
    <numFmt numFmtId="165" formatCode="#,##0&quot; €&quot;"/>
    <numFmt numFmtId="166" formatCode="0.0%"/>
    <numFmt numFmtId="167" formatCode="#,##0&quot; €/kW&quot;"/>
    <numFmt numFmtId="168" formatCode="#,##0&quot; kW&quot;"/>
    <numFmt numFmtId="169" formatCode="#,##0&quot; €/kW-yr&quot;"/>
    <numFmt numFmtId="170" formatCode="#,##0&quot; h/yr&quot;"/>
    <numFmt numFmtId="171" formatCode="#,##0.0&quot; €/MWh&quot;"/>
    <numFmt numFmtId="172" formatCode="0.0&quot; €/MWh&quot;"/>
    <numFmt numFmtId="173" formatCode="0.0"/>
  </numFmts>
  <fonts count="5" x14ac:knownFonts="1">
    <font>
      <sz val="11"/>
      <color theme="1"/>
      <name val="Calibri"/>
      <family val="2"/>
      <charset val="1"/>
    </font>
    <font>
      <b/>
      <sz val="13"/>
      <name val="Cambria"/>
      <charset val="1"/>
    </font>
    <font>
      <i/>
      <sz val="9"/>
      <name val="Cambria"/>
      <charset val="1"/>
    </font>
    <font>
      <b/>
      <sz val="11"/>
      <name val="Cambria"/>
      <charset val="1"/>
    </font>
    <font>
      <b/>
      <sz val="12"/>
      <name val="Cambria"/>
      <charset val="1"/>
    </font>
  </fonts>
  <fills count="6">
    <fill>
      <patternFill patternType="none"/>
    </fill>
    <fill>
      <patternFill patternType="gray125"/>
    </fill>
    <fill>
      <patternFill patternType="solid">
        <fgColor rgb="FFDDEBF7"/>
        <bgColor rgb="FFD9D9D9"/>
      </patternFill>
    </fill>
    <fill>
      <patternFill patternType="solid">
        <fgColor rgb="FFFFFF99"/>
        <bgColor rgb="FFFCE4D6"/>
      </patternFill>
    </fill>
    <fill>
      <patternFill patternType="solid">
        <fgColor rgb="FFFCE4D6"/>
        <bgColor rgb="FFDDEBF7"/>
      </patternFill>
    </fill>
    <fill>
      <patternFill patternType="solid">
        <fgColor rgb="FFC6E0B4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2" borderId="0" xfId="0" applyFont="1" applyFill="1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0" fillId="3" borderId="0" xfId="0" applyFill="1"/>
    <xf numFmtId="164" fontId="0" fillId="0" borderId="0" xfId="0" applyNumberFormat="1"/>
    <xf numFmtId="0" fontId="3" fillId="0" borderId="0" xfId="0" applyFont="1"/>
    <xf numFmtId="165" fontId="0" fillId="0" borderId="0" xfId="0" applyNumberFormat="1"/>
    <xf numFmtId="166" fontId="0" fillId="0" borderId="0" xfId="0" applyNumberFormat="1"/>
    <xf numFmtId="0" fontId="3" fillId="4" borderId="0" xfId="0" applyFont="1" applyFill="1"/>
    <xf numFmtId="0" fontId="0" fillId="4" borderId="0" xfId="0" applyFill="1"/>
    <xf numFmtId="165" fontId="0" fillId="4" borderId="0" xfId="0" applyNumberFormat="1" applyFill="1"/>
    <xf numFmtId="165" fontId="3" fillId="4" borderId="0" xfId="0" applyNumberFormat="1" applyFont="1" applyFill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0" fontId="4" fillId="5" borderId="0" xfId="0" applyFont="1" applyFill="1"/>
    <xf numFmtId="172" fontId="4" fillId="5" borderId="0" xfId="0" applyNumberFormat="1" applyFont="1" applyFill="1"/>
    <xf numFmtId="9" fontId="0" fillId="0" borderId="0" xfId="0" applyNumberFormat="1"/>
    <xf numFmtId="17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78787"/>
      <rgbColor rgb="FF9999FF"/>
      <rgbColor rgb="FFBE4B48"/>
      <rgbColor rgb="FFFCE4D6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46AAC4"/>
      <rgbColor rgb="FF98B855"/>
      <rgbColor rgb="FFFFCC00"/>
      <rgbColor rgb="FFFF9900"/>
      <rgbColor rgb="FFFF6600"/>
      <rgbColor rgb="FF7D5FA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 LCOE Spider Diagram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Sensitivity!$C$4</c:f>
              <c:strCache>
                <c:ptCount val="1"/>
                <c:pt idx="0">
                  <c:v>LCOE (Tin)</c:v>
                </c:pt>
              </c:strCache>
            </c:strRef>
          </c:tx>
          <c:spPr>
            <a:ln w="12600">
              <a:solidFill>
                <a:srgbClr val="4A7EBB"/>
              </a:solidFill>
              <a:round/>
            </a:ln>
          </c:spPr>
          <c:marker>
            <c:symbol val="circle"/>
            <c:size val="5"/>
            <c:spPr>
              <a:solidFill>
                <a:srgbClr val="4A7EB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Sensitivity!$A$5:$A$9</c:f>
              <c:numCache>
                <c:formatCode>0%</c:formatCode>
                <c:ptCount val="5"/>
                <c:pt idx="0">
                  <c:v>-0.2</c:v>
                </c:pt>
                <c:pt idx="1">
                  <c:v>-0.1</c:v>
                </c:pt>
                <c:pt idx="2">
                  <c:v>0</c:v>
                </c:pt>
                <c:pt idx="3">
                  <c:v>0.1</c:v>
                </c:pt>
                <c:pt idx="4">
                  <c:v>0.2</c:v>
                </c:pt>
              </c:numCache>
            </c:numRef>
          </c:cat>
          <c:val>
            <c:numRef>
              <c:f>Sensitivity!$C$5:$C$9</c:f>
              <c:numCache>
                <c:formatCode>0.0</c:formatCode>
                <c:ptCount val="5"/>
                <c:pt idx="0">
                  <c:v>294.2053812111032</c:v>
                </c:pt>
                <c:pt idx="1">
                  <c:v>228.03096663116054</c:v>
                </c:pt>
                <c:pt idx="2">
                  <c:v>186.52169671894947</c:v>
                </c:pt>
                <c:pt idx="3">
                  <c:v>158.5256713439253</c:v>
                </c:pt>
                <c:pt idx="4">
                  <c:v>138.62569369731827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08-4A0A-9934-5B672499C5CA}"/>
            </c:ext>
          </c:extLst>
        </c:ser>
        <c:ser>
          <c:idx val="1"/>
          <c:order val="1"/>
          <c:tx>
            <c:strRef>
              <c:f>Sensitivity!$E$4</c:f>
              <c:strCache>
                <c:ptCount val="1"/>
                <c:pt idx="0">
                  <c:v>LCOE (Tout)</c:v>
                </c:pt>
              </c:strCache>
            </c:strRef>
          </c:tx>
          <c:spPr>
            <a:ln w="12600">
              <a:solidFill>
                <a:srgbClr val="BE4B48"/>
              </a:solidFill>
              <a:round/>
            </a:ln>
          </c:spPr>
          <c:marker>
            <c:symbol val="circle"/>
            <c:size val="5"/>
            <c:spPr>
              <a:solidFill>
                <a:srgbClr val="BE4B48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Sensitivity!$A$5:$A$9</c:f>
              <c:numCache>
                <c:formatCode>0%</c:formatCode>
                <c:ptCount val="5"/>
                <c:pt idx="0">
                  <c:v>-0.2</c:v>
                </c:pt>
                <c:pt idx="1">
                  <c:v>-0.1</c:v>
                </c:pt>
                <c:pt idx="2">
                  <c:v>0</c:v>
                </c:pt>
                <c:pt idx="3">
                  <c:v>0.1</c:v>
                </c:pt>
                <c:pt idx="4">
                  <c:v>0.2</c:v>
                </c:pt>
              </c:numCache>
            </c:numRef>
          </c:cat>
          <c:val>
            <c:numRef>
              <c:f>Sensitivity!$E$5:$E$9</c:f>
              <c:numCache>
                <c:formatCode>0.0</c:formatCode>
                <c:ptCount val="5"/>
                <c:pt idx="0">
                  <c:v>178.90785407606546</c:v>
                </c:pt>
                <c:pt idx="1">
                  <c:v>182.25992524032495</c:v>
                </c:pt>
                <c:pt idx="2">
                  <c:v>186.52169671894947</c:v>
                </c:pt>
                <c:pt idx="3">
                  <c:v>191.83254754276783</c:v>
                </c:pt>
                <c:pt idx="4">
                  <c:v>198.37465158189801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08-4A0A-9934-5B672499C5CA}"/>
            </c:ext>
          </c:extLst>
        </c:ser>
        <c:ser>
          <c:idx val="2"/>
          <c:order val="2"/>
          <c:tx>
            <c:strRef>
              <c:f>Sensitivity!$G$4</c:f>
              <c:strCache>
                <c:ptCount val="1"/>
                <c:pt idx="0">
                  <c:v>LCOE (Flow)</c:v>
                </c:pt>
              </c:strCache>
            </c:strRef>
          </c:tx>
          <c:spPr>
            <a:ln w="12600">
              <a:solidFill>
                <a:srgbClr val="98B855"/>
              </a:solidFill>
              <a:round/>
            </a:ln>
          </c:spPr>
          <c:marker>
            <c:symbol val="circle"/>
            <c:size val="5"/>
            <c:spPr>
              <a:solidFill>
                <a:srgbClr val="98B85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Sensitivity!$A$5:$A$9</c:f>
              <c:numCache>
                <c:formatCode>0%</c:formatCode>
                <c:ptCount val="5"/>
                <c:pt idx="0">
                  <c:v>-0.2</c:v>
                </c:pt>
                <c:pt idx="1">
                  <c:v>-0.1</c:v>
                </c:pt>
                <c:pt idx="2">
                  <c:v>0</c:v>
                </c:pt>
                <c:pt idx="3">
                  <c:v>0.1</c:v>
                </c:pt>
                <c:pt idx="4">
                  <c:v>0.2</c:v>
                </c:pt>
              </c:numCache>
            </c:numRef>
          </c:cat>
          <c:val>
            <c:numRef>
              <c:f>Sensitivity!$G$5:$G$9</c:f>
              <c:numCache>
                <c:formatCode>0.0</c:formatCode>
                <c:ptCount val="5"/>
                <c:pt idx="0">
                  <c:v>221.60157126630432</c:v>
                </c:pt>
                <c:pt idx="1">
                  <c:v>202.11364517511268</c:v>
                </c:pt>
                <c:pt idx="2">
                  <c:v>186.52169671894947</c:v>
                </c:pt>
                <c:pt idx="3">
                  <c:v>173.76757086065197</c:v>
                </c:pt>
                <c:pt idx="4">
                  <c:v>163.13779299272923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008-4A0A-9934-5B672499C5CA}"/>
            </c:ext>
          </c:extLst>
        </c:ser>
        <c:ser>
          <c:idx val="3"/>
          <c:order val="3"/>
          <c:tx>
            <c:strRef>
              <c:f>Sensitivity!$I$4</c:f>
              <c:strCache>
                <c:ptCount val="1"/>
                <c:pt idx="0">
                  <c:v>LCOE (Depth)</c:v>
                </c:pt>
              </c:strCache>
            </c:strRef>
          </c:tx>
          <c:spPr>
            <a:ln w="12600">
              <a:solidFill>
                <a:srgbClr val="7D5FA0"/>
              </a:solidFill>
              <a:round/>
            </a:ln>
          </c:spPr>
          <c:marker>
            <c:symbol val="circle"/>
            <c:size val="5"/>
            <c:spPr>
              <a:solidFill>
                <a:srgbClr val="7D5FA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Sensitivity!$A$5:$A$9</c:f>
              <c:numCache>
                <c:formatCode>0%</c:formatCode>
                <c:ptCount val="5"/>
                <c:pt idx="0">
                  <c:v>-0.2</c:v>
                </c:pt>
                <c:pt idx="1">
                  <c:v>-0.1</c:v>
                </c:pt>
                <c:pt idx="2">
                  <c:v>0</c:v>
                </c:pt>
                <c:pt idx="3">
                  <c:v>0.1</c:v>
                </c:pt>
                <c:pt idx="4">
                  <c:v>0.2</c:v>
                </c:pt>
              </c:numCache>
            </c:numRef>
          </c:cat>
          <c:val>
            <c:numRef>
              <c:f>Sensitivity!$I$5:$I$9</c:f>
              <c:numCache>
                <c:formatCode>0.0</c:formatCode>
                <c:ptCount val="5"/>
                <c:pt idx="0">
                  <c:v>170.05598354966514</c:v>
                </c:pt>
                <c:pt idx="1">
                  <c:v>178.28964392591223</c:v>
                </c:pt>
                <c:pt idx="2">
                  <c:v>186.52169671894947</c:v>
                </c:pt>
                <c:pt idx="3">
                  <c:v>194.75696467840635</c:v>
                </c:pt>
                <c:pt idx="4">
                  <c:v>202.99062505465338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008-4A0A-9934-5B672499C5CA}"/>
            </c:ext>
          </c:extLst>
        </c:ser>
        <c:ser>
          <c:idx val="4"/>
          <c:order val="4"/>
          <c:tx>
            <c:strRef>
              <c:f>Sensitivity!$K$4</c:f>
              <c:strCache>
                <c:ptCount val="1"/>
                <c:pt idx="0">
                  <c:v>LCOE (DrillCost)</c:v>
                </c:pt>
              </c:strCache>
            </c:strRef>
          </c:tx>
          <c:spPr>
            <a:ln w="12600">
              <a:solidFill>
                <a:srgbClr val="46AAC4"/>
              </a:solidFill>
              <a:round/>
            </a:ln>
          </c:spPr>
          <c:marker>
            <c:symbol val="circle"/>
            <c:size val="5"/>
            <c:spPr>
              <a:solidFill>
                <a:srgbClr val="46AAC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Sensitivity!$A$5:$A$9</c:f>
              <c:numCache>
                <c:formatCode>0%</c:formatCode>
                <c:ptCount val="5"/>
                <c:pt idx="0">
                  <c:v>-0.2</c:v>
                </c:pt>
                <c:pt idx="1">
                  <c:v>-0.1</c:v>
                </c:pt>
                <c:pt idx="2">
                  <c:v>0</c:v>
                </c:pt>
                <c:pt idx="3">
                  <c:v>0.1</c:v>
                </c:pt>
                <c:pt idx="4">
                  <c:v>0.2</c:v>
                </c:pt>
              </c:numCache>
            </c:numRef>
          </c:cat>
          <c:val>
            <c:numRef>
              <c:f>Sensitivity!$K$5:$K$9</c:f>
              <c:numCache>
                <c:formatCode>0.0</c:formatCode>
                <c:ptCount val="5"/>
                <c:pt idx="0">
                  <c:v>170.05598354966514</c:v>
                </c:pt>
                <c:pt idx="1">
                  <c:v>178.28964392591223</c:v>
                </c:pt>
                <c:pt idx="2">
                  <c:v>186.52169671894947</c:v>
                </c:pt>
                <c:pt idx="3">
                  <c:v>194.75696467840635</c:v>
                </c:pt>
                <c:pt idx="4">
                  <c:v>202.99062505465338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008-4A0A-9934-5B672499C5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7898974"/>
        <c:axId val="46132162"/>
      </c:lineChart>
      <c:catAx>
        <c:axId val="47898974"/>
        <c:scaling>
          <c:orientation val="minMax"/>
        </c:scaling>
        <c:delete val="0"/>
        <c:axPos val="b"/>
        <c:numFmt formatCode="0%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46132162"/>
        <c:crosses val="autoZero"/>
        <c:auto val="1"/>
        <c:lblAlgn val="ctr"/>
        <c:lblOffset val="100"/>
        <c:noMultiLvlLbl val="0"/>
      </c:catAx>
      <c:valAx>
        <c:axId val="46132162"/>
        <c:scaling>
          <c:orientation val="minMax"/>
        </c:scaling>
        <c:delete val="0"/>
        <c:axPos val="l"/>
        <c:numFmt formatCode="0.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4789897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12</xdr:row>
      <xdr:rowOff>0</xdr:rowOff>
    </xdr:from>
    <xdr:to>
      <xdr:col>8</xdr:col>
      <xdr:colOff>447480</xdr:colOff>
      <xdr:row>32</xdr:row>
      <xdr:rowOff>149040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"/>
  <sheetViews>
    <sheetView topLeftCell="A57" zoomScaleNormal="100" workbookViewId="0"/>
  </sheetViews>
  <sheetFormatPr defaultColWidth="8.6640625" defaultRowHeight="14.4" x14ac:dyDescent="0.3"/>
  <cols>
    <col min="1" max="1" width="42" customWidth="1"/>
    <col min="2" max="2" width="14" customWidth="1"/>
    <col min="3" max="3" width="16" customWidth="1"/>
    <col min="4" max="4" width="55" customWidth="1"/>
  </cols>
  <sheetData>
    <row r="1" spans="1:4" ht="16.5" customHeight="1" x14ac:dyDescent="0.3">
      <c r="A1" s="2" t="s">
        <v>0</v>
      </c>
    </row>
    <row r="2" spans="1:4" ht="14.25" customHeight="1" x14ac:dyDescent="0.3">
      <c r="A2" s="3" t="s">
        <v>1</v>
      </c>
    </row>
    <row r="4" spans="1:4" ht="14.25" customHeight="1" x14ac:dyDescent="0.3">
      <c r="A4" s="1" t="s">
        <v>2</v>
      </c>
      <c r="B4" s="1"/>
      <c r="C4" s="1"/>
      <c r="D4" s="1"/>
    </row>
    <row r="5" spans="1:4" ht="14.25" customHeight="1" x14ac:dyDescent="0.3">
      <c r="A5" t="s">
        <v>3</v>
      </c>
      <c r="B5" s="5">
        <v>5</v>
      </c>
      <c r="C5" t="s">
        <v>4</v>
      </c>
      <c r="D5" s="3" t="s">
        <v>5</v>
      </c>
    </row>
    <row r="6" spans="1:4" ht="14.25" customHeight="1" x14ac:dyDescent="0.3">
      <c r="A6" t="s">
        <v>6</v>
      </c>
      <c r="B6" s="5">
        <v>5</v>
      </c>
      <c r="C6" t="s">
        <v>4</v>
      </c>
      <c r="D6" s="3"/>
    </row>
    <row r="7" spans="1:4" ht="14.25" customHeight="1" x14ac:dyDescent="0.3">
      <c r="A7" t="s">
        <v>7</v>
      </c>
      <c r="B7">
        <f>B5+B6</f>
        <v>10</v>
      </c>
      <c r="C7" t="s">
        <v>4</v>
      </c>
      <c r="D7" s="3"/>
    </row>
    <row r="8" spans="1:4" ht="14.25" customHeight="1" x14ac:dyDescent="0.3">
      <c r="A8" t="s">
        <v>8</v>
      </c>
      <c r="B8" s="5">
        <v>2</v>
      </c>
      <c r="C8" t="s">
        <v>4</v>
      </c>
      <c r="D8" s="3" t="s">
        <v>9</v>
      </c>
    </row>
    <row r="9" spans="1:4" ht="14.25" customHeight="1" x14ac:dyDescent="0.3">
      <c r="A9" t="s">
        <v>10</v>
      </c>
      <c r="B9" s="5">
        <v>1120</v>
      </c>
      <c r="C9" t="s">
        <v>11</v>
      </c>
      <c r="D9" s="3" t="s">
        <v>12</v>
      </c>
    </row>
    <row r="10" spans="1:4" ht="14.25" customHeight="1" x14ac:dyDescent="0.3">
      <c r="A10" t="s">
        <v>13</v>
      </c>
      <c r="B10" s="5">
        <v>4223.8999999999996</v>
      </c>
      <c r="C10" t="s">
        <v>14</v>
      </c>
      <c r="D10" s="3" t="s">
        <v>15</v>
      </c>
    </row>
    <row r="11" spans="1:4" ht="14.25" customHeight="1" x14ac:dyDescent="0.3">
      <c r="A11" t="s">
        <v>16</v>
      </c>
      <c r="B11" s="6">
        <v>124.53270000000001</v>
      </c>
      <c r="C11" t="s">
        <v>17</v>
      </c>
      <c r="D11" s="3" t="s">
        <v>18</v>
      </c>
    </row>
    <row r="12" spans="1:4" ht="14.25" customHeight="1" x14ac:dyDescent="0.3">
      <c r="A12" s="1" t="s">
        <v>19</v>
      </c>
      <c r="B12" s="1"/>
      <c r="C12" s="1"/>
      <c r="D12" s="1"/>
    </row>
    <row r="13" spans="1:4" ht="14.25" customHeight="1" x14ac:dyDescent="0.3">
      <c r="A13" t="s">
        <v>20</v>
      </c>
      <c r="B13" s="5">
        <v>20000</v>
      </c>
      <c r="C13" t="s">
        <v>21</v>
      </c>
      <c r="D13" s="3"/>
    </row>
    <row r="14" spans="1:4" ht="14.25" customHeight="1" x14ac:dyDescent="0.3">
      <c r="A14" t="s">
        <v>22</v>
      </c>
      <c r="B14" s="5">
        <v>700000</v>
      </c>
      <c r="C14" t="s">
        <v>23</v>
      </c>
      <c r="D14" s="3"/>
    </row>
    <row r="15" spans="1:4" ht="14.25" customHeight="1" x14ac:dyDescent="0.3">
      <c r="A15" t="s">
        <v>24</v>
      </c>
      <c r="B15" s="5">
        <v>400000</v>
      </c>
      <c r="C15" t="s">
        <v>25</v>
      </c>
      <c r="D15" s="3"/>
    </row>
    <row r="16" spans="1:4" ht="14.25" customHeight="1" x14ac:dyDescent="0.3">
      <c r="A16" t="s">
        <v>26</v>
      </c>
      <c r="B16" s="5">
        <v>2200</v>
      </c>
      <c r="C16" t="s">
        <v>27</v>
      </c>
      <c r="D16" s="3" t="s">
        <v>28</v>
      </c>
    </row>
    <row r="17" spans="1:4" ht="14.25" customHeight="1" x14ac:dyDescent="0.3">
      <c r="A17" t="s">
        <v>29</v>
      </c>
      <c r="B17" s="5">
        <v>500000</v>
      </c>
      <c r="C17" t="s">
        <v>30</v>
      </c>
      <c r="D17" s="3"/>
    </row>
    <row r="18" spans="1:4" ht="14.25" customHeight="1" x14ac:dyDescent="0.3">
      <c r="A18" t="s">
        <v>31</v>
      </c>
      <c r="B18" s="5">
        <v>2000000</v>
      </c>
      <c r="C18" t="s">
        <v>32</v>
      </c>
      <c r="D18" s="3"/>
    </row>
    <row r="19" spans="1:4" ht="14.25" customHeight="1" x14ac:dyDescent="0.3">
      <c r="A19" t="s">
        <v>33</v>
      </c>
      <c r="B19" s="5">
        <v>500000</v>
      </c>
      <c r="C19" t="s">
        <v>30</v>
      </c>
      <c r="D19" s="3"/>
    </row>
    <row r="20" spans="1:4" ht="14.25" customHeight="1" x14ac:dyDescent="0.3">
      <c r="A20" t="s">
        <v>34</v>
      </c>
      <c r="B20" s="5">
        <v>750000</v>
      </c>
      <c r="C20" t="s">
        <v>30</v>
      </c>
      <c r="D20" s="3"/>
    </row>
    <row r="21" spans="1:4" ht="14.25" customHeight="1" x14ac:dyDescent="0.3">
      <c r="A21" t="s">
        <v>35</v>
      </c>
      <c r="B21" s="5">
        <v>400000</v>
      </c>
      <c r="C21" t="s">
        <v>36</v>
      </c>
      <c r="D21" s="3"/>
    </row>
    <row r="22" spans="1:4" ht="14.25" customHeight="1" x14ac:dyDescent="0.3">
      <c r="A22" t="s">
        <v>37</v>
      </c>
      <c r="B22" s="5">
        <v>3000000</v>
      </c>
      <c r="C22" t="s">
        <v>38</v>
      </c>
      <c r="D22" s="3"/>
    </row>
    <row r="23" spans="1:4" ht="14.25" customHeight="1" x14ac:dyDescent="0.3">
      <c r="A23" t="s">
        <v>39</v>
      </c>
      <c r="B23" s="5">
        <v>2000000</v>
      </c>
      <c r="C23" t="s">
        <v>30</v>
      </c>
      <c r="D23" s="3"/>
    </row>
    <row r="24" spans="1:4" ht="14.25" customHeight="1" x14ac:dyDescent="0.3">
      <c r="A24" t="s">
        <v>40</v>
      </c>
      <c r="B24" s="5">
        <v>10</v>
      </c>
      <c r="C24" t="s">
        <v>41</v>
      </c>
      <c r="D24" s="3" t="s">
        <v>42</v>
      </c>
    </row>
    <row r="25" spans="1:4" ht="14.25" customHeight="1" x14ac:dyDescent="0.3">
      <c r="A25" t="s">
        <v>43</v>
      </c>
      <c r="B25" s="5">
        <v>0.15</v>
      </c>
      <c r="C25" t="s">
        <v>44</v>
      </c>
      <c r="D25" s="3" t="s">
        <v>45</v>
      </c>
    </row>
    <row r="26" spans="1:4" ht="14.25" customHeight="1" x14ac:dyDescent="0.3">
      <c r="D26" s="3"/>
    </row>
    <row r="27" spans="1:4" ht="14.25" customHeight="1" x14ac:dyDescent="0.3">
      <c r="A27" s="1" t="s">
        <v>46</v>
      </c>
      <c r="B27" s="1"/>
      <c r="C27" s="1"/>
      <c r="D27" s="1"/>
    </row>
    <row r="28" spans="1:4" ht="14.25" customHeight="1" x14ac:dyDescent="0.3">
      <c r="A28" t="s">
        <v>47</v>
      </c>
      <c r="B28" s="5">
        <v>0.1</v>
      </c>
      <c r="C28" t="s">
        <v>44</v>
      </c>
      <c r="D28" s="3"/>
    </row>
    <row r="29" spans="1:4" ht="14.25" customHeight="1" x14ac:dyDescent="0.3">
      <c r="A29" t="s">
        <v>48</v>
      </c>
      <c r="B29" s="5">
        <v>20</v>
      </c>
      <c r="C29" t="s">
        <v>49</v>
      </c>
      <c r="D29" s="3"/>
    </row>
    <row r="30" spans="1:4" ht="14.25" customHeight="1" x14ac:dyDescent="0.3">
      <c r="A30" t="s">
        <v>50</v>
      </c>
      <c r="B30" s="5">
        <v>0.95</v>
      </c>
      <c r="C30" t="s">
        <v>44</v>
      </c>
      <c r="D30" s="3" t="s">
        <v>51</v>
      </c>
    </row>
    <row r="31" spans="1:4" ht="14.25" customHeight="1" x14ac:dyDescent="0.3">
      <c r="A31" t="s">
        <v>52</v>
      </c>
      <c r="B31">
        <f>B30*8760</f>
        <v>8322</v>
      </c>
      <c r="C31" t="s">
        <v>53</v>
      </c>
      <c r="D31" s="3"/>
    </row>
    <row r="32" spans="1:4" ht="14.25" customHeight="1" x14ac:dyDescent="0.3">
      <c r="A32" t="s">
        <v>54</v>
      </c>
      <c r="B32" s="5">
        <v>13</v>
      </c>
      <c r="C32" t="s">
        <v>55</v>
      </c>
      <c r="D32" s="3"/>
    </row>
    <row r="33" spans="1:4" ht="14.25" customHeight="1" x14ac:dyDescent="0.3">
      <c r="A33" t="s">
        <v>56</v>
      </c>
      <c r="B33" s="5">
        <v>0</v>
      </c>
      <c r="C33" t="s">
        <v>57</v>
      </c>
      <c r="D33" s="3" t="s">
        <v>58</v>
      </c>
    </row>
    <row r="34" spans="1:4" ht="14.25" customHeight="1" x14ac:dyDescent="0.3">
      <c r="A34" t="s">
        <v>59</v>
      </c>
      <c r="B34">
        <f>B28*(1+B28)^B29/((1+B28)^B29-1)</f>
        <v>0.11745962477254576</v>
      </c>
      <c r="C34" t="s">
        <v>44</v>
      </c>
      <c r="D34" s="3" t="s">
        <v>60</v>
      </c>
    </row>
  </sheetData>
  <mergeCells count="3">
    <mergeCell ref="A4:D4"/>
    <mergeCell ref="A12:D12"/>
    <mergeCell ref="A27:D2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"/>
  <sheetViews>
    <sheetView zoomScaleNormal="100" workbookViewId="0"/>
  </sheetViews>
  <sheetFormatPr defaultColWidth="8.6640625" defaultRowHeight="14.4" x14ac:dyDescent="0.3"/>
  <cols>
    <col min="1" max="1" width="34" customWidth="1"/>
    <col min="2" max="3" width="14" customWidth="1"/>
    <col min="4" max="5" width="16" customWidth="1"/>
    <col min="6" max="6" width="11" customWidth="1"/>
  </cols>
  <sheetData>
    <row r="1" spans="1:6" ht="16.5" customHeight="1" x14ac:dyDescent="0.3">
      <c r="A1" s="2" t="s">
        <v>61</v>
      </c>
    </row>
    <row r="2" spans="1:6" ht="14.25" customHeight="1" x14ac:dyDescent="0.3">
      <c r="A2" s="3" t="s">
        <v>62</v>
      </c>
    </row>
    <row r="4" spans="1:6" ht="14.25" customHeight="1" x14ac:dyDescent="0.3">
      <c r="A4" s="7" t="s">
        <v>63</v>
      </c>
      <c r="B4">
        <f>Assumptions!B10/(1-Assumptions!B25)/1000</f>
        <v>4.9692941176470589</v>
      </c>
    </row>
    <row r="6" spans="1:6" ht="14.25" customHeight="1" x14ac:dyDescent="0.3">
      <c r="A6" s="4" t="s">
        <v>64</v>
      </c>
      <c r="B6" s="4" t="s">
        <v>65</v>
      </c>
      <c r="C6" s="4" t="s">
        <v>66</v>
      </c>
      <c r="D6" s="4" t="s">
        <v>67</v>
      </c>
      <c r="E6" s="4" t="s">
        <v>68</v>
      </c>
      <c r="F6" s="4" t="s">
        <v>69</v>
      </c>
    </row>
    <row r="7" spans="1:6" ht="14.25" customHeight="1" x14ac:dyDescent="0.3">
      <c r="A7" t="s">
        <v>70</v>
      </c>
      <c r="B7" t="s">
        <v>41</v>
      </c>
      <c r="C7">
        <f>Assumptions!B24</f>
        <v>10</v>
      </c>
      <c r="D7" s="8">
        <f>Assumptions!B13</f>
        <v>20000</v>
      </c>
      <c r="E7" s="8">
        <f t="shared" ref="E7:E17" si="0">C7*D7</f>
        <v>200000</v>
      </c>
      <c r="F7" s="9">
        <f t="shared" ref="F7:F17" si="1">E7/$E$18</f>
        <v>3.8514430450868045E-3</v>
      </c>
    </row>
    <row r="8" spans="1:6" ht="14.25" customHeight="1" x14ac:dyDescent="0.3">
      <c r="A8" t="s">
        <v>71</v>
      </c>
      <c r="B8" t="s">
        <v>4</v>
      </c>
      <c r="C8">
        <f>Assumptions!B8</f>
        <v>2</v>
      </c>
      <c r="D8" s="8">
        <f>Assumptions!B14</f>
        <v>700000</v>
      </c>
      <c r="E8" s="8">
        <f t="shared" si="0"/>
        <v>1400000</v>
      </c>
      <c r="F8" s="9">
        <f t="shared" si="1"/>
        <v>2.6960101315607634E-2</v>
      </c>
    </row>
    <row r="9" spans="1:6" ht="14.25" customHeight="1" x14ac:dyDescent="0.3">
      <c r="A9" t="s">
        <v>72</v>
      </c>
      <c r="B9" t="s">
        <v>4</v>
      </c>
      <c r="C9">
        <f>Assumptions!B7</f>
        <v>10</v>
      </c>
      <c r="D9" s="8">
        <f>Assumptions!B15</f>
        <v>400000</v>
      </c>
      <c r="E9" s="8">
        <f t="shared" si="0"/>
        <v>4000000</v>
      </c>
      <c r="F9" s="9">
        <f t="shared" si="1"/>
        <v>7.7028860901736093E-2</v>
      </c>
    </row>
    <row r="10" spans="1:6" ht="14.25" customHeight="1" x14ac:dyDescent="0.3">
      <c r="A10" t="s">
        <v>73</v>
      </c>
      <c r="B10" t="s">
        <v>74</v>
      </c>
      <c r="C10">
        <f>Assumptions!B7*Assumptions!B9</f>
        <v>11200</v>
      </c>
      <c r="D10" s="8">
        <f>Assumptions!B16</f>
        <v>2200</v>
      </c>
      <c r="E10" s="8">
        <f t="shared" si="0"/>
        <v>24640000</v>
      </c>
      <c r="F10" s="9">
        <f t="shared" si="1"/>
        <v>0.47449778315469432</v>
      </c>
    </row>
    <row r="11" spans="1:6" ht="14.25" customHeight="1" x14ac:dyDescent="0.3">
      <c r="A11" t="s">
        <v>29</v>
      </c>
      <c r="B11" t="s">
        <v>75</v>
      </c>
      <c r="C11">
        <v>1</v>
      </c>
      <c r="D11" s="8">
        <f>Assumptions!B17</f>
        <v>500000</v>
      </c>
      <c r="E11" s="8">
        <f t="shared" si="0"/>
        <v>500000</v>
      </c>
      <c r="F11" s="9">
        <f t="shared" si="1"/>
        <v>9.6286076127170116E-3</v>
      </c>
    </row>
    <row r="12" spans="1:6" ht="14.25" customHeight="1" x14ac:dyDescent="0.3">
      <c r="A12" t="s">
        <v>76</v>
      </c>
      <c r="B12" t="s">
        <v>77</v>
      </c>
      <c r="C12">
        <f>B4</f>
        <v>4.9692941176470589</v>
      </c>
      <c r="D12" s="8">
        <f>Assumptions!B18</f>
        <v>2000000</v>
      </c>
      <c r="E12" s="8">
        <f t="shared" si="0"/>
        <v>9938588.2352941185</v>
      </c>
      <c r="F12" s="9">
        <f t="shared" si="1"/>
        <v>0.19138953268402537</v>
      </c>
    </row>
    <row r="13" spans="1:6" ht="14.25" customHeight="1" x14ac:dyDescent="0.3">
      <c r="A13" t="s">
        <v>78</v>
      </c>
      <c r="B13" t="s">
        <v>75</v>
      </c>
      <c r="C13">
        <v>1</v>
      </c>
      <c r="D13" s="8">
        <f>Assumptions!B19</f>
        <v>500000</v>
      </c>
      <c r="E13" s="8">
        <f t="shared" si="0"/>
        <v>500000</v>
      </c>
      <c r="F13" s="9">
        <f t="shared" si="1"/>
        <v>9.6286076127170116E-3</v>
      </c>
    </row>
    <row r="14" spans="1:6" ht="14.25" customHeight="1" x14ac:dyDescent="0.3">
      <c r="A14" t="s">
        <v>79</v>
      </c>
      <c r="B14" t="s">
        <v>75</v>
      </c>
      <c r="C14">
        <v>1</v>
      </c>
      <c r="D14" s="8">
        <f>Assumptions!B20</f>
        <v>750000</v>
      </c>
      <c r="E14" s="8">
        <f t="shared" si="0"/>
        <v>750000</v>
      </c>
      <c r="F14" s="9">
        <f t="shared" si="1"/>
        <v>1.4442911419075518E-2</v>
      </c>
    </row>
    <row r="15" spans="1:6" ht="14.25" customHeight="1" x14ac:dyDescent="0.3">
      <c r="A15" t="s">
        <v>80</v>
      </c>
      <c r="B15" t="s">
        <v>81</v>
      </c>
      <c r="C15">
        <f>Assumptions!B5</f>
        <v>5</v>
      </c>
      <c r="D15" s="8">
        <f>Assumptions!B21</f>
        <v>400000</v>
      </c>
      <c r="E15" s="8">
        <f t="shared" si="0"/>
        <v>2000000</v>
      </c>
      <c r="F15" s="9">
        <f t="shared" si="1"/>
        <v>3.8514430450868047E-2</v>
      </c>
    </row>
    <row r="16" spans="1:6" ht="14.25" customHeight="1" x14ac:dyDescent="0.3">
      <c r="A16" t="s">
        <v>82</v>
      </c>
      <c r="B16" t="s">
        <v>83</v>
      </c>
      <c r="C16">
        <f>Assumptions!B8</f>
        <v>2</v>
      </c>
      <c r="D16" s="8">
        <f>Assumptions!B22</f>
        <v>3000000</v>
      </c>
      <c r="E16" s="8">
        <f t="shared" si="0"/>
        <v>6000000</v>
      </c>
      <c r="F16" s="9">
        <f t="shared" si="1"/>
        <v>0.11554329135260415</v>
      </c>
    </row>
    <row r="17" spans="1:6" ht="14.25" customHeight="1" x14ac:dyDescent="0.3">
      <c r="A17" t="s">
        <v>84</v>
      </c>
      <c r="B17" t="s">
        <v>75</v>
      </c>
      <c r="C17">
        <v>1</v>
      </c>
      <c r="D17" s="8">
        <f>Assumptions!B23</f>
        <v>2000000</v>
      </c>
      <c r="E17" s="8">
        <f t="shared" si="0"/>
        <v>2000000</v>
      </c>
      <c r="F17" s="9">
        <f t="shared" si="1"/>
        <v>3.8514430450868047E-2</v>
      </c>
    </row>
    <row r="18" spans="1:6" ht="14.25" customHeight="1" x14ac:dyDescent="0.3">
      <c r="A18" s="10" t="s">
        <v>85</v>
      </c>
      <c r="B18" s="11"/>
      <c r="C18" s="11"/>
      <c r="D18" s="12"/>
      <c r="E18" s="13">
        <f>SUM(E7:E17)</f>
        <v>51928588.235294119</v>
      </c>
    </row>
    <row r="20" spans="1:6" ht="14.25" customHeight="1" x14ac:dyDescent="0.3">
      <c r="A20" s="7" t="s">
        <v>86</v>
      </c>
      <c r="B20" s="14">
        <f>E18/Assumptions!B10</f>
        <v>12293.990917231498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2"/>
  <sheetViews>
    <sheetView zoomScaleNormal="100" workbookViewId="0"/>
  </sheetViews>
  <sheetFormatPr defaultColWidth="8.6640625" defaultRowHeight="14.4" x14ac:dyDescent="0.3"/>
  <cols>
    <col min="1" max="1" width="32" customWidth="1"/>
    <col min="2" max="2" width="18" customWidth="1"/>
  </cols>
  <sheetData>
    <row r="1" spans="1:2" ht="16.5" customHeight="1" x14ac:dyDescent="0.3">
      <c r="A1" s="2" t="s">
        <v>87</v>
      </c>
    </row>
    <row r="2" spans="1:2" ht="14.25" customHeight="1" x14ac:dyDescent="0.3">
      <c r="A2" s="3" t="s">
        <v>88</v>
      </c>
    </row>
    <row r="4" spans="1:2" ht="14.25" customHeight="1" x14ac:dyDescent="0.3">
      <c r="A4" t="s">
        <v>89</v>
      </c>
      <c r="B4" s="8">
        <f>CAPEX_Group3!E18</f>
        <v>51928588.235294119</v>
      </c>
    </row>
    <row r="5" spans="1:2" ht="14.25" customHeight="1" x14ac:dyDescent="0.3">
      <c r="A5" t="s">
        <v>90</v>
      </c>
      <c r="B5" s="15">
        <f>Assumptions!B10</f>
        <v>4223.8999999999996</v>
      </c>
    </row>
    <row r="6" spans="1:2" ht="14.25" customHeight="1" x14ac:dyDescent="0.3">
      <c r="A6" t="s">
        <v>91</v>
      </c>
      <c r="B6" s="14">
        <f>B4/B5</f>
        <v>12293.990917231498</v>
      </c>
    </row>
    <row r="7" spans="1:2" ht="14.25" customHeight="1" x14ac:dyDescent="0.3">
      <c r="A7" t="s">
        <v>59</v>
      </c>
      <c r="B7" s="6">
        <f>Assumptions!B34</f>
        <v>0.11745962477254576</v>
      </c>
    </row>
    <row r="8" spans="1:2" ht="14.25" customHeight="1" x14ac:dyDescent="0.3">
      <c r="A8" t="s">
        <v>56</v>
      </c>
      <c r="B8" s="16">
        <f>Assumptions!B33</f>
        <v>0</v>
      </c>
    </row>
    <row r="9" spans="1:2" ht="14.25" customHeight="1" x14ac:dyDescent="0.3">
      <c r="A9" t="s">
        <v>52</v>
      </c>
      <c r="B9" s="17">
        <f>Assumptions!B31</f>
        <v>8322</v>
      </c>
    </row>
    <row r="10" spans="1:2" ht="14.25" customHeight="1" x14ac:dyDescent="0.3">
      <c r="A10" t="s">
        <v>54</v>
      </c>
      <c r="B10" s="18">
        <f>Assumptions!B32</f>
        <v>13</v>
      </c>
    </row>
    <row r="12" spans="1:2" ht="15" customHeight="1" x14ac:dyDescent="0.3">
      <c r="A12" s="19" t="s">
        <v>92</v>
      </c>
      <c r="B12" s="20">
        <f>(B6*B7+B8)/B9*1000+B10</f>
        <v>186.52169671894947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9"/>
  <sheetViews>
    <sheetView tabSelected="1" topLeftCell="A8" zoomScaleNormal="100" workbookViewId="0">
      <selection activeCell="G11" sqref="G11"/>
    </sheetView>
  </sheetViews>
  <sheetFormatPr defaultColWidth="8.6640625" defaultRowHeight="14.4" x14ac:dyDescent="0.3"/>
  <cols>
    <col min="1" max="1" width="11" customWidth="1"/>
    <col min="2" max="2" width="15" customWidth="1"/>
    <col min="3" max="3" width="12" customWidth="1"/>
    <col min="4" max="4" width="16" customWidth="1"/>
    <col min="5" max="5" width="12" customWidth="1"/>
    <col min="6" max="6" width="14" customWidth="1"/>
    <col min="7" max="7" width="12" customWidth="1"/>
    <col min="8" max="8" width="14" customWidth="1"/>
    <col min="9" max="9" width="12" customWidth="1"/>
    <col min="10" max="10" width="16" customWidth="1"/>
    <col min="11" max="11" width="15" customWidth="1"/>
  </cols>
  <sheetData>
    <row r="1" spans="1:11" ht="16.5" customHeight="1" x14ac:dyDescent="0.3">
      <c r="A1" s="2" t="s">
        <v>93</v>
      </c>
    </row>
    <row r="2" spans="1:11" ht="14.25" customHeight="1" x14ac:dyDescent="0.3">
      <c r="A2" s="3" t="s">
        <v>94</v>
      </c>
    </row>
    <row r="4" spans="1:11" ht="14.25" customHeight="1" x14ac:dyDescent="0.3">
      <c r="A4" s="4" t="s">
        <v>95</v>
      </c>
      <c r="B4" s="4" t="s">
        <v>96</v>
      </c>
      <c r="C4" s="4" t="s">
        <v>97</v>
      </c>
      <c r="D4" s="4" t="s">
        <v>98</v>
      </c>
      <c r="E4" s="4" t="s">
        <v>99</v>
      </c>
      <c r="F4" s="4" t="s">
        <v>100</v>
      </c>
      <c r="G4" s="4" t="s">
        <v>101</v>
      </c>
      <c r="H4" s="4" t="s">
        <v>102</v>
      </c>
      <c r="I4" s="4" t="s">
        <v>103</v>
      </c>
      <c r="J4" s="4" t="s">
        <v>104</v>
      </c>
      <c r="K4" s="4" t="s">
        <v>105</v>
      </c>
    </row>
    <row r="5" spans="1:11" ht="14.25" customHeight="1" x14ac:dyDescent="0.3">
      <c r="A5" s="21">
        <v>-0.2</v>
      </c>
      <c r="B5">
        <f>Assumptions!$B$11*(1+A5)</f>
        <v>99.626160000000013</v>
      </c>
      <c r="C5" s="22">
        <f>(((17350000+((2200)*(1120)*10)+(2000000*(((((150)*0.917)*4.31*((B5)-(50)))*(0.52*(1-(273.15+19.9590607511086)/(273.15+(((B5)-(50))/LN((273.15+(B5))/(273.15+(50)))-273.15)))))/0.85/1000)))/((((150)*0.917)*4.31*((B5)-(50)))*(0.52*(1-(273.15+19.9590607511086)/(273.15+(((B5)-(50))/LN((273.15+(B5))/(273.15+(50)))-273.15))))))*0.117459624772546)/8322*1000+13</f>
        <v>294.2053812111032</v>
      </c>
      <c r="D5">
        <v>40</v>
      </c>
      <c r="E5" s="22">
        <f>(((17350000+((2200)*(1120)*10)+(2000000*(((((150)*0.917)*4.31*((Assumptions!$B$11)-(40)))*(0.52*(1-(273.15+19.9590607511086)/(273.15+(((Assumptions!$B$11)-(40))/LN((273.15+(Assumptions!$B$11))/(273.15+(40)))-273.15)))))/0.85/1000)))/((((150)*0.917)*4.31*((Assumptions!$B$11)-(40)))*(0.52*(1-(273.15+19.9590607511086)/(273.15+(((Assumptions!$B$11)-(40))/LN((273.15+(Assumptions!$B$11))/(273.15+(40)))-273.15))))))*0.117459624772546)/8322*1000+13</f>
        <v>178.90785407606546</v>
      </c>
      <c r="F5">
        <v>120</v>
      </c>
      <c r="G5" s="22">
        <f>(((17350000+((2200)*(1120)*10)+(2000000*(((((120)*0.917)*4.31*((Assumptions!$B$11)-(50)))*(0.52*(1-(273.15+19.9590607511086)/(273.15+(((Assumptions!$B$11)-(50))/LN((273.15+(Assumptions!$B$11))/(273.15+(50)))-273.15)))))/0.85/1000)))/((((120)*0.917)*4.31*((Assumptions!$B$11)-(50)))*(0.52*(1-(273.15+19.9590607511086)/(273.15+(((Assumptions!$B$11)-(50))/LN((273.15+(Assumptions!$B$11))/(273.15+(50)))-273.15))))))*0.117459624772546)/8322*1000+13</f>
        <v>221.60157126630432</v>
      </c>
      <c r="H5">
        <v>896</v>
      </c>
      <c r="I5" s="22">
        <f>(((17350000+((2200)*(896)*10)+(2000000*(((((150)*0.917)*4.31*((Assumptions!$B$11)-(50)))*(0.52*(1-(273.15+19.9590607511086)/(273.15+(((Assumptions!$B$11)-(50))/LN((273.15+(Assumptions!$B$11))/(273.15+(50)))-273.15)))))/0.85/1000)))/((((150)*0.917)*4.31*((Assumptions!$B$11)-(50)))*(0.52*(1-(273.15+19.9590607511086)/(273.15+(((Assumptions!$B$11)-(50))/LN((273.15+(Assumptions!$B$11))/(273.15+(50)))-273.15))))))*0.117459624772546)/8322*1000+13</f>
        <v>170.05598354966514</v>
      </c>
      <c r="J5">
        <v>1760</v>
      </c>
      <c r="K5" s="22">
        <f>(((17350000+((1760)*(1120)*10)+(2000000*(((((150)*0.917)*4.31*((Assumptions!$B$11)-(50)))*(0.52*(1-(273.15+19.9590607511086)/(273.15+(((Assumptions!$B$11)-(50))/LN((273.15+(Assumptions!$B$11))/(273.15+(50)))-273.15)))))/0.85/1000)))/((((150)*0.917)*4.31*((Assumptions!$B$11)-(50)))*(0.52*(1-(273.15+19.9590607511086)/(273.15+(((Assumptions!$B$11)-(50))/LN((273.15+(Assumptions!$B$11))/(273.15+(50)))-273.15))))))*0.117459624772546)/8322*1000+13</f>
        <v>170.05598354966514</v>
      </c>
    </row>
    <row r="6" spans="1:11" ht="14.25" customHeight="1" x14ac:dyDescent="0.3">
      <c r="A6" s="21">
        <v>-0.1</v>
      </c>
      <c r="B6">
        <f>Assumptions!$B$11*(1+A6)</f>
        <v>112.07943</v>
      </c>
      <c r="C6" s="22">
        <f>(((17350000+((2200)*(1120)*10)+(2000000*(((((150)*0.917)*4.31*((B6)-(50)))*(0.52*(1-(273.15+19.9590607511086)/(273.15+(((B6)-(50))/LN((273.15+(B6))/(273.15+(50)))-273.15)))))/0.85/1000)))/((((150)*0.917)*4.31*((B6)-(50)))*(0.52*(1-(273.15+19.9590607511086)/(273.15+(((B6)-(50))/LN((273.15+(B6))/(273.15+(50)))-273.15))))))*0.117459624772546)/8322*1000+13</f>
        <v>228.03096663116054</v>
      </c>
      <c r="D6">
        <v>45</v>
      </c>
      <c r="E6" s="22">
        <f>(((17350000+((2200)*(1120)*10)+(2000000*(((((150)*0.917)*4.31*((Assumptions!$B$11)-(45)))*(0.52*(1-(273.15+19.9590607511086)/(273.15+(((Assumptions!$B$11)-(45))/LN((273.15+(Assumptions!$B$11))/(273.15+(45)))-273.15)))))/0.85/1000)))/((((150)*0.917)*4.31*((Assumptions!$B$11)-(45)))*(0.52*(1-(273.15+19.9590607511086)/(273.15+(((Assumptions!$B$11)-(45))/LN((273.15+(Assumptions!$B$11))/(273.15+(45)))-273.15))))))*0.117459624772546)/8322*1000+13</f>
        <v>182.25992524032495</v>
      </c>
      <c r="F6">
        <v>135</v>
      </c>
      <c r="G6" s="22">
        <f>(((17350000+((2200)*(1120)*10)+(2000000*(((((135)*0.917)*4.31*((Assumptions!$B$11)-(50)))*(0.52*(1-(273.15+19.9590607511086)/(273.15+(((Assumptions!$B$11)-(50))/LN((273.15+(Assumptions!$B$11))/(273.15+(50)))-273.15)))))/0.85/1000)))/((((135)*0.917)*4.31*((Assumptions!$B$11)-(50)))*(0.52*(1-(273.15+19.9590607511086)/(273.15+(((Assumptions!$B$11)-(50))/LN((273.15+(Assumptions!$B$11))/(273.15+(50)))-273.15))))))*0.117459624772546)/8322*1000+13</f>
        <v>202.11364517511268</v>
      </c>
      <c r="H6">
        <v>1008</v>
      </c>
      <c r="I6" s="22">
        <f>(((17350000+((2200)*(1008)*10)+(2000000*(((((150)*0.917)*4.31*((Assumptions!$B$11)-(50)))*(0.52*(1-(273.15+19.9590607511086)/(273.15+(((Assumptions!$B$11)-(50))/LN((273.15+(Assumptions!$B$11))/(273.15+(50)))-273.15)))))/0.85/1000)))/((((150)*0.917)*4.31*((Assumptions!$B$11)-(50)))*(0.52*(1-(273.15+19.9590607511086)/(273.15+(((Assumptions!$B$11)-(50))/LN((273.15+(Assumptions!$B$11))/(273.15+(50)))-273.15))))))*0.117459624772546)/8322*1000+13</f>
        <v>178.28964392591223</v>
      </c>
      <c r="J6">
        <v>1980</v>
      </c>
      <c r="K6" s="22">
        <f>(((17350000+((1980)*(1120)*10)+(2000000*(((((150)*0.917)*4.31*((Assumptions!$B$11)-(50)))*(0.52*(1-(273.15+19.9590607511086)/(273.15+(((Assumptions!$B$11)-(50))/LN((273.15+(Assumptions!$B$11))/(273.15+(50)))-273.15)))))/0.85/1000)))/((((150)*0.917)*4.31*((Assumptions!$B$11)-(50)))*(0.52*(1-(273.15+19.9590607511086)/(273.15+(((Assumptions!$B$11)-(50))/LN((273.15+(Assumptions!$B$11))/(273.15+(50)))-273.15))))))*0.117459624772546)/8322*1000+13</f>
        <v>178.28964392591223</v>
      </c>
    </row>
    <row r="7" spans="1:11" ht="14.25" customHeight="1" x14ac:dyDescent="0.3">
      <c r="A7" s="21">
        <v>0</v>
      </c>
      <c r="B7" s="6">
        <f>Assumptions!$B$11</f>
        <v>124.53270000000001</v>
      </c>
      <c r="C7" s="22">
        <f>LCOE_Group3!$B$12</f>
        <v>186.52169671894947</v>
      </c>
      <c r="D7">
        <v>50</v>
      </c>
      <c r="E7" s="22">
        <f>LCOE_Group3!$B$12</f>
        <v>186.52169671894947</v>
      </c>
      <c r="F7">
        <v>150</v>
      </c>
      <c r="G7" s="22">
        <f>LCOE_Group3!$B$12</f>
        <v>186.52169671894947</v>
      </c>
      <c r="H7">
        <v>1120</v>
      </c>
      <c r="I7" s="22">
        <f>LCOE_Group3!$B$12</f>
        <v>186.52169671894947</v>
      </c>
      <c r="J7">
        <v>2200</v>
      </c>
      <c r="K7" s="22">
        <f>LCOE_Group3!$B$12</f>
        <v>186.52169671894947</v>
      </c>
    </row>
    <row r="8" spans="1:11" ht="14.25" customHeight="1" x14ac:dyDescent="0.3">
      <c r="A8" s="21">
        <v>0.1</v>
      </c>
      <c r="B8">
        <f>Assumptions!$B$11*(1+A8)</f>
        <v>136.98597000000001</v>
      </c>
      <c r="C8" s="22">
        <f>(((17350000+((2200)*(1120)*10)+(2000000*(((((150)*0.917)*4.31*((B8)-(50)))*(0.52*(1-(273.15+19.9590607511086)/(273.15+(((B8)-(50))/LN((273.15+(B8))/(273.15+(50)))-273.15)))))/0.85/1000)))/((((150)*0.917)*4.31*((B8)-(50)))*(0.52*(1-(273.15+19.9590607511086)/(273.15+(((B8)-(50))/LN((273.15+(B8))/(273.15+(50)))-273.15))))))*0.117459624772546)/8322*1000+13</f>
        <v>158.5256713439253</v>
      </c>
      <c r="D8">
        <v>55</v>
      </c>
      <c r="E8" s="22">
        <f>(((17350000+((2200)*(1120)*10)+(2000000*(((((150)*0.917)*4.31*((Assumptions!$B$11)-(55)))*(0.52*(1-(273.15+19.9590607511086)/(273.15+(((Assumptions!$B$11)-(55))/LN((273.15+(Assumptions!$B$11))/(273.15+(55)))-273.15)))))/0.85/1000)))/((((150)*0.917)*4.31*((Assumptions!$B$11)-(55)))*(0.52*(1-(273.15+19.9590607511086)/(273.15+(((Assumptions!$B$11)-(55))/LN((273.15+(Assumptions!$B$11))/(273.15+(55)))-273.15))))))*0.117459624772546)/8322*1000+13</f>
        <v>191.83254754276783</v>
      </c>
      <c r="F8">
        <v>165</v>
      </c>
      <c r="G8" s="22">
        <f>(((17350000+((2200)*(1120)*10)+(2000000*(((((165)*0.917)*4.31*((Assumptions!$B$11)-(50)))*(0.52*(1-(273.15+19.9590607511086)/(273.15+(((Assumptions!$B$11)-(50))/LN((273.15+(Assumptions!$B$11))/(273.15+(50)))-273.15)))))/0.85/1000)))/((((165)*0.917)*4.31*((Assumptions!$B$11)-(50)))*(0.52*(1-(273.15+19.9590607511086)/(273.15+(((Assumptions!$B$11)-(50))/LN((273.15+(Assumptions!$B$11))/(273.15+(50)))-273.15))))))*0.117459624772546)/8322*1000+13</f>
        <v>173.76757086065197</v>
      </c>
      <c r="H8">
        <v>1232</v>
      </c>
      <c r="I8" s="22">
        <f>(((17350000+((2200)*(1232)*10)+(2000000*(((((150)*0.917)*4.31*((Assumptions!$B$11)-(50)))*(0.52*(1-(273.15+19.9590607511086)/(273.15+(((Assumptions!$B$11)-(50))/LN((273.15+(Assumptions!$B$11))/(273.15+(50)))-273.15)))))/0.85/1000)))/((((150)*0.917)*4.31*((Assumptions!$B$11)-(50)))*(0.52*(1-(273.15+19.9590607511086)/(273.15+(((Assumptions!$B$11)-(50))/LN((273.15+(Assumptions!$B$11))/(273.15+(50)))-273.15))))))*0.117459624772546)/8322*1000+13</f>
        <v>194.75696467840635</v>
      </c>
      <c r="J8">
        <v>2420</v>
      </c>
      <c r="K8" s="22">
        <f>(((17350000+((2420)*(1120)*10)+(2000000*(((((150)*0.917)*4.31*((Assumptions!$B$11)-(50)))*(0.52*(1-(273.15+19.9590607511086)/(273.15+(((Assumptions!$B$11)-(50))/LN((273.15+(Assumptions!$B$11))/(273.15+(50)))-273.15)))))/0.85/1000)))/((((150)*0.917)*4.31*((Assumptions!$B$11)-(50)))*(0.52*(1-(273.15+19.9590607511086)/(273.15+(((Assumptions!$B$11)-(50))/LN((273.15+(Assumptions!$B$11))/(273.15+(50)))-273.15))))))*0.117459624772546)/8322*1000+13</f>
        <v>194.75696467840635</v>
      </c>
    </row>
    <row r="9" spans="1:11" ht="14.25" customHeight="1" x14ac:dyDescent="0.3">
      <c r="A9" s="21">
        <v>0.2</v>
      </c>
      <c r="B9">
        <f>Assumptions!$B$11*(1+A9)</f>
        <v>149.43924000000001</v>
      </c>
      <c r="C9" s="22">
        <f>(((17350000+((2200)*(1120)*10)+(2000000*(((((150)*0.917)*4.31*((B9)-(50)))*(0.52*(1-(273.15+19.9590607511086)/(273.15+(((B9)-(50))/LN((273.15+(B9))/(273.15+(50)))-273.15)))))/0.85/1000)))/((((150)*0.917)*4.31*((B9)-(50)))*(0.52*(1-(273.15+19.9590607511086)/(273.15+(((B9)-(50))/LN((273.15+(B9))/(273.15+(50)))-273.15))))))*0.117459624772546)/8322*1000+13</f>
        <v>138.62569369731827</v>
      </c>
      <c r="D9">
        <v>60</v>
      </c>
      <c r="E9" s="22">
        <f>(((17350000+((2200)*(1120)*10)+(2000000*(((((150)*0.917)*4.31*((Assumptions!$B$11)-(60)))*(0.52*(1-(273.15+19.9590607511086)/(273.15+(((Assumptions!$B$11)-(60))/LN((273.15+(Assumptions!$B$11))/(273.15+(60)))-273.15)))))/0.85/1000)))/((((150)*0.917)*4.31*((Assumptions!$B$11)-(60)))*(0.52*(1-(273.15+19.9590607511086)/(273.15+(((Assumptions!$B$11)-(60))/LN((273.15+(Assumptions!$B$11))/(273.15+(60)))-273.15))))))*0.117459624772546)/8322*1000+13</f>
        <v>198.37465158189801</v>
      </c>
      <c r="F9">
        <v>180</v>
      </c>
      <c r="G9" s="22">
        <f>(((17350000+((2200)*(1120)*10)+(2000000*(((((180)*0.917)*4.31*((Assumptions!$B$11)-(50)))*(0.52*(1-(273.15+19.9590607511086)/(273.15+(((Assumptions!$B$11)-(50))/LN((273.15+(Assumptions!$B$11))/(273.15+(50)))-273.15)))))/0.85/1000)))/((((180)*0.917)*4.31*((Assumptions!$B$11)-(50)))*(0.52*(1-(273.15+19.9590607511086)/(273.15+(((Assumptions!$B$11)-(50))/LN((273.15+(Assumptions!$B$11))/(273.15+(50)))-273.15))))))*0.117459624772546)/8322*1000+13</f>
        <v>163.13779299272923</v>
      </c>
      <c r="H9">
        <v>1344</v>
      </c>
      <c r="I9" s="22">
        <f>(((17350000+((2200)*(1344)*10)+(2000000*(((((150)*0.917)*4.31*((Assumptions!$B$11)-(50)))*(0.52*(1-(273.15+19.9590607511086)/(273.15+(((Assumptions!$B$11)-(50))/LN((273.15+(Assumptions!$B$11))/(273.15+(50)))-273.15)))))/0.85/1000)))/((((150)*0.917)*4.31*((Assumptions!$B$11)-(50)))*(0.52*(1-(273.15+19.9590607511086)/(273.15+(((Assumptions!$B$11)-(50))/LN((273.15+(Assumptions!$B$11))/(273.15+(50)))-273.15))))))*0.117459624772546)/8322*1000+13</f>
        <v>202.99062505465338</v>
      </c>
      <c r="J9">
        <v>2640</v>
      </c>
      <c r="K9" s="22">
        <f>(((17350000+((2640)*(1120)*10)+(2000000*(((((150)*0.917)*4.31*((Assumptions!$B$11)-(50)))*(0.52*(1-(273.15+19.9590607511086)/(273.15+(((Assumptions!$B$11)-(50))/LN((273.15+(Assumptions!$B$11))/(273.15+(50)))-273.15)))))/0.85/1000)))/((((150)*0.917)*4.31*((Assumptions!$B$11)-(50)))*(0.52*(1-(273.15+19.9590607511086)/(273.15+(((Assumptions!$B$11)-(50))/LN((273.15+(Assumptions!$B$11))/(273.15+(50)))-273.15))))))*0.117459624772546)/8322*1000+13</f>
        <v>202.99062505465338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Assumptions</vt:lpstr>
      <vt:lpstr>CAPEX_Group3</vt:lpstr>
      <vt:lpstr>LCOE_Group3</vt:lpstr>
      <vt:lpstr>Sensitivity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Saghafi Far  Iman</cp:lastModifiedBy>
  <cp:revision>0</cp:revision>
  <dcterms:created xsi:type="dcterms:W3CDTF">2026-07-01T07:20:24Z</dcterms:created>
  <dcterms:modified xsi:type="dcterms:W3CDTF">2026-07-01T13:20:36Z</dcterms:modified>
  <dc:language>en-US</dc:language>
</cp:coreProperties>
</file>