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Assumptions" sheetId="1" state="visible" r:id="rId3"/>
    <sheet name="CAPEX_Group3" sheetId="2" state="visible" r:id="rId4"/>
    <sheet name="LCOE_Group3" sheetId="3" state="visible" r:id="rId5"/>
    <sheet name="Sensitivit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<sst xmlns="http://schemas.openxmlformats.org/spreadsheetml/2006/main" count="126" uniqueCount="106">
  <si>
    <t xml:space="preserve">Economic Assessment — Group 3 geothermal binary plant</t>
  </si>
  <si>
    <t xml:space="preserve">Unit costs derived from Dr. Luca Xodo's lecture (Zero-Emission Binary example, slide 75-79); quantities scaled to Group 3's plant.</t>
  </si>
  <si>
    <t xml:space="preserve">PLANT / WELLFIELD DATA (Group 3)</t>
  </si>
  <si>
    <t xml:space="preserve">Production wells</t>
  </si>
  <si>
    <t xml:space="preserve">n</t>
  </si>
  <si>
    <t xml:space="preserve">5+5 doublet configuration (FEFLOW tutorial layout)</t>
  </si>
  <si>
    <t xml:space="preserve">Injection wells</t>
  </si>
  <si>
    <t xml:space="preserve">Total wells</t>
  </si>
  <si>
    <t xml:space="preserve">Well pads</t>
  </si>
  <si>
    <t xml:space="preserve">1 production pad + 1 injection pad (wells clustered by welldata X,Y)</t>
  </si>
  <si>
    <t xml:space="preserve">Well depth (bottom of screen)</t>
  </si>
  <si>
    <t xml:space="preserve">m</t>
  </si>
  <si>
    <t xml:space="preserve">geoth_tutorial_data_Group3.xlsx &gt; welldata</t>
  </si>
  <si>
    <t xml:space="preserve">Net electrical power (Pel)</t>
  </si>
  <si>
    <t xml:space="preserve">kW</t>
  </si>
  <si>
    <t xml:space="preserve">from ORC_Group3.xlsx &gt; Base_Case_Group3!B17</t>
  </si>
  <si>
    <t xml:space="preserve">Average Production Temperature (°C)</t>
  </si>
  <si>
    <t xml:space="preserve">°C</t>
  </si>
  <si>
    <t xml:space="preserve">Validated FEFLOW post-processing output (Stage 12), t = 100 yr; see ../outputs/Average_Production_Temperature.csv, ../figures/F8_average_production_temperature.png</t>
  </si>
  <si>
    <t xml:space="preserve">UNIT COSTS (from Xodo lecture, Zero-Emission Binary CAPEX table)</t>
  </si>
  <si>
    <t xml:space="preserve">Land acquisition</t>
  </si>
  <si>
    <t xml:space="preserve">€/ha</t>
  </si>
  <si>
    <t xml:space="preserve">EPC of well pad</t>
  </si>
  <si>
    <t xml:space="preserve">€/pad</t>
  </si>
  <si>
    <t xml:space="preserve">Design &amp; management per well</t>
  </si>
  <si>
    <t xml:space="preserve">€/well</t>
  </si>
  <si>
    <t xml:space="preserve">Well drilling &amp; testing (unit cost/m)</t>
  </si>
  <si>
    <t xml:space="preserve">€/m</t>
  </si>
  <si>
    <t xml:space="preserve">Scaled from Xodo reference example (2,500 m, &gt;250 degC); linear depth-scaling assumption applied to Group 3 (1,120 m wells)</t>
  </si>
  <si>
    <t xml:space="preserve">Long production testing</t>
  </si>
  <si>
    <t xml:space="preserve">€ (lump)</t>
  </si>
  <si>
    <t xml:space="preserve">EPC of power plant</t>
  </si>
  <si>
    <t xml:space="preserve">€/MWg</t>
  </si>
  <si>
    <t xml:space="preserve">Substation &amp; grid connection</t>
  </si>
  <si>
    <t xml:space="preserve">Gathering system design &amp; mgmt</t>
  </si>
  <si>
    <t xml:space="preserve">Well pumps</t>
  </si>
  <si>
    <t xml:space="preserve">€/well (production wells)</t>
  </si>
  <si>
    <t xml:space="preserve">Piping &amp; equipment</t>
  </si>
  <si>
    <t xml:space="preserve">€/wellpad</t>
  </si>
  <si>
    <t xml:space="preserve">Permitting &amp; surface exploration</t>
  </si>
  <si>
    <t xml:space="preserve">Land area assumed</t>
  </si>
  <si>
    <t xml:space="preserve">ha</t>
  </si>
  <si>
    <t xml:space="preserve">same as Xodo example (2 wellpads)</t>
  </si>
  <si>
    <t xml:space="preserve">ORC plant auxiliaries (gross-&gt;net)</t>
  </si>
  <si>
    <t xml:space="preserve">-</t>
  </si>
  <si>
    <t xml:space="preserve">assumption, matches Xodo binary example</t>
  </si>
  <si>
    <t xml:space="preserve">FINANCIAL PARAMETERS (Xodo Business Plan defaults)</t>
  </si>
  <si>
    <t xml:space="preserve">Discount rate (i)</t>
  </si>
  <si>
    <t xml:space="preserve">Plant useful life (n)</t>
  </si>
  <si>
    <t xml:space="preserve">years</t>
  </si>
  <si>
    <t xml:space="preserve">Capacity factor (CF)</t>
  </si>
  <si>
    <t xml:space="preserve">8,322 h/yr availability</t>
  </si>
  <si>
    <t xml:space="preserve">Availability</t>
  </si>
  <si>
    <t xml:space="preserve">h/yr</t>
  </si>
  <si>
    <t xml:space="preserve">Variable O&amp;M cost</t>
  </si>
  <si>
    <t xml:space="preserve">€/MWh</t>
  </si>
  <si>
    <t xml:space="preserve">Fixed O&amp;M cost</t>
  </si>
  <si>
    <t xml:space="preserve">€/kW-yr</t>
  </si>
  <si>
    <t xml:space="preserve">assumption per lecture</t>
  </si>
  <si>
    <t xml:space="preserve">Capital Recovery Factor (CRF)</t>
  </si>
  <si>
    <t xml:space="preserve">CRF = i(1+i)^n / ((1+i)^n - 1)</t>
  </si>
  <si>
    <t xml:space="preserve">CAPEX Breakdown — Group 3 Geothermal Binary Plant</t>
  </si>
  <si>
    <t xml:space="preserve">Structure and unit costs from Xodo lecture (Zero-Emission Binary example); quantities from Assumptions sheet.</t>
  </si>
  <si>
    <t xml:space="preserve">Gross plant capacity (MWg)</t>
  </si>
  <si>
    <t xml:space="preserve">Task</t>
  </si>
  <si>
    <t xml:space="preserve">Unit</t>
  </si>
  <si>
    <t xml:space="preserve">Quantity</t>
  </si>
  <si>
    <t xml:space="preserve">Unit cost [€]</t>
  </si>
  <si>
    <t xml:space="preserve">Total cost [€]</t>
  </si>
  <si>
    <t xml:space="preserve">% of total</t>
  </si>
  <si>
    <t xml:space="preserve">Land acquisition and preparation</t>
  </si>
  <si>
    <t xml:space="preserve">EPC of well pads</t>
  </si>
  <si>
    <t xml:space="preserve">Design &amp; management (all wells)</t>
  </si>
  <si>
    <t xml:space="preserve">Well drilling &amp; testing</t>
  </si>
  <si>
    <t xml:space="preserve">m (total)</t>
  </si>
  <si>
    <t xml:space="preserve">lump</t>
  </si>
  <si>
    <t xml:space="preserve">EPC of the power plant</t>
  </si>
  <si>
    <t xml:space="preserve">MWg</t>
  </si>
  <si>
    <t xml:space="preserve">Substation and grid connection</t>
  </si>
  <si>
    <t xml:space="preserve">Gathering: design &amp; management</t>
  </si>
  <si>
    <t xml:space="preserve">Gathering: well pumps</t>
  </si>
  <si>
    <t xml:space="preserve">n (prod. wells)</t>
  </si>
  <si>
    <t xml:space="preserve">Gathering: piping &amp; equipment</t>
  </si>
  <si>
    <t xml:space="preserve">per wellpad</t>
  </si>
  <si>
    <t xml:space="preserve">Permitting and surface exploration</t>
  </si>
  <si>
    <t xml:space="preserve">TOTAL CAPEX</t>
  </si>
  <si>
    <t xml:space="preserve">CAPEX per kW net installed</t>
  </si>
  <si>
    <t xml:space="preserve">Simplified LCOE — Group 3</t>
  </si>
  <si>
    <t xml:space="preserve">sLCOE = (CAPEX/kW x CRF + Fixed O&amp;M) / (8760 x CF) x 1000 + Variable O&amp;M   [Xodo lecture, based on NREL simplified LCOE]</t>
  </si>
  <si>
    <t xml:space="preserve">Total CAPEX</t>
  </si>
  <si>
    <t xml:space="preserve">Net electrical power</t>
  </si>
  <si>
    <t xml:space="preserve">CAPEX per kW</t>
  </si>
  <si>
    <t xml:space="preserve">LCOE</t>
  </si>
  <si>
    <t xml:space="preserve">Sensitivity Analysis — LCOE Spider Diagram (Group 3)</t>
  </si>
  <si>
    <t xml:space="preserve">Each parameter varied ±20%/±10% independently, all others held at base case. LMTair (condenser side) held fixed at base-case value (19.959 °C).</t>
  </si>
  <si>
    <t xml:space="preserve">Variation</t>
  </si>
  <si>
    <t xml:space="preserve">T_source-in [°C]</t>
  </si>
  <si>
    <t xml:space="preserve">LCOE (Tin)</t>
  </si>
  <si>
    <t xml:space="preserve">T_source-out [°C]</t>
  </si>
  <si>
    <t xml:space="preserve">LCOE (Tout)</t>
  </si>
  <si>
    <t xml:space="preserve">Flow rate [l/s]</t>
  </si>
  <si>
    <t xml:space="preserve">LCOE (Flow)</t>
  </si>
  <si>
    <t xml:space="preserve">Well depth [m]</t>
  </si>
  <si>
    <t xml:space="preserve">LCOE (Depth)</t>
  </si>
  <si>
    <t xml:space="preserve">Drilling cost [€/m]</t>
  </si>
  <si>
    <t xml:space="preserve">LCOE (DrillCost)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</si>
</sst>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00"/>
    <numFmt numFmtId="166" formatCode="#,##0&quot; €&quot;"/>
    <numFmt numFmtId="167" formatCode="0.0%"/>
    <numFmt numFmtId="168" formatCode="#,##0&quot; €/kW&quot;"/>
    <numFmt numFmtId="169" formatCode="#,##0&quot; kW&quot;"/>
    <numFmt numFmtId="170" formatCode="#,##0&quot; €/kW-yr&quot;"/>
    <numFmt numFmtId="171" formatCode="#,##0&quot; h/yr&quot;"/>
    <numFmt numFmtId="172" formatCode="#,##0.0&quot; €/MWh&quot;"/>
    <numFmt numFmtId="173" formatCode="0.0&quot; €/MWh&quot;"/>
    <numFmt numFmtId="174" formatCode="0%"/>
    <numFmt numFmtId="175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DEBF7"/>
        <bgColor rgb="FFD9D9D9"/>
      </patternFill>
    </fill>
    <fill>
      <patternFill patternType="solid">
        <fgColor rgb="FFFFFF99"/>
        <bgColor rgb="FFFCE4D6"/>
      </patternFill>
    </fill>
    <fill>
      <patternFill patternType="solid">
        <fgColor rgb="FFFCE4D6"/>
        <bgColor rgb="FFDDEBF7"/>
      </patternFill>
    </fill>
    <fill>
      <patternFill patternType="solid">
        <fgColor rgb="FFC6E0B4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78787"/>
      <rgbColor rgb="FF9999FF"/>
      <rgbColor rgb="FFBE4B48"/>
      <rgbColor rgb="FFFCE4D6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 LCOE Spider Diagram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Sensitivity!$C$4</c:f>
              <c:strCache>
                <c:ptCount val="1"/>
                <c:pt idx="0">
                  <c:v>LCOE (Tin)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circle"/>
            <c:size val="5"/>
            <c:spPr>
              <a:solidFill>
                <a:srgbClr val="4A7EBB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Sensitivity!$A$5:$A$9</c:f>
              <c:strCache>
                <c:ptCount val="5"/>
                <c:pt idx="0">
                  <c:v>-20%</c:v>
                </c:pt>
                <c:pt idx="1">
                  <c:v>-10%</c:v>
                </c:pt>
                <c:pt idx="2">
                  <c:v>0%</c:v>
                </c:pt>
                <c:pt idx="3">
                  <c:v>10%</c:v>
                </c:pt>
                <c:pt idx="4">
                  <c:v>20%</c:v>
                </c:pt>
              </c:strCache>
            </c:strRef>
          </c:cat>
          <c:val>
            <c:numRef>
              <c:f>Sensitivity!$C$5:$C$9</c:f>
              <c:numCache>
                <c:formatCode>0.0</c:formatCode>
                <c:ptCount val="5"/>
                <c:pt idx="0">
                  <c:v>294.205381211103</c:v>
                </c:pt>
                <c:pt idx="1">
                  <c:v>228.030966631161</c:v>
                </c:pt>
                <c:pt idx="2">
                  <c:v>186.521696718949</c:v>
                </c:pt>
                <c:pt idx="3">
                  <c:v>158.525671343925</c:v>
                </c:pt>
                <c:pt idx="4">
                  <c:v>138.625693697318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Sensitivity!$E$4</c:f>
              <c:strCache>
                <c:ptCount val="1"/>
                <c:pt idx="0">
                  <c:v>LCOE (Tout)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circle"/>
            <c:size val="5"/>
            <c:spPr>
              <a:solidFill>
                <a:srgbClr val="BE4B48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Sensitivity!$A$5:$A$9</c:f>
              <c:strCache>
                <c:ptCount val="5"/>
                <c:pt idx="0">
                  <c:v>-20%</c:v>
                </c:pt>
                <c:pt idx="1">
                  <c:v>-10%</c:v>
                </c:pt>
                <c:pt idx="2">
                  <c:v>0%</c:v>
                </c:pt>
                <c:pt idx="3">
                  <c:v>10%</c:v>
                </c:pt>
                <c:pt idx="4">
                  <c:v>20%</c:v>
                </c:pt>
              </c:strCache>
            </c:strRef>
          </c:cat>
          <c:val>
            <c:numRef>
              <c:f>Sensitivity!$E$5:$E$9</c:f>
              <c:numCache>
                <c:formatCode>0.0</c:formatCode>
                <c:ptCount val="5"/>
                <c:pt idx="0">
                  <c:v>178.907854076065</c:v>
                </c:pt>
                <c:pt idx="1">
                  <c:v>182.259925240325</c:v>
                </c:pt>
                <c:pt idx="2">
                  <c:v>186.521696718949</c:v>
                </c:pt>
                <c:pt idx="3">
                  <c:v>191.832547542768</c:v>
                </c:pt>
                <c:pt idx="4">
                  <c:v>198.374651581898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Sensitivity!$G$4</c:f>
              <c:strCache>
                <c:ptCount val="1"/>
                <c:pt idx="0">
                  <c:v>LCOE (Flow)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round/>
            </a:ln>
          </c:spPr>
          <c:marker>
            <c:symbol val="circle"/>
            <c:size val="5"/>
            <c:spPr>
              <a:solidFill>
                <a:srgbClr val="98B855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Sensitivity!$A$5:$A$9</c:f>
              <c:strCache>
                <c:ptCount val="5"/>
                <c:pt idx="0">
                  <c:v>-20%</c:v>
                </c:pt>
                <c:pt idx="1">
                  <c:v>-10%</c:v>
                </c:pt>
                <c:pt idx="2">
                  <c:v>0%</c:v>
                </c:pt>
                <c:pt idx="3">
                  <c:v>10%</c:v>
                </c:pt>
                <c:pt idx="4">
                  <c:v>20%</c:v>
                </c:pt>
              </c:strCache>
            </c:strRef>
          </c:cat>
          <c:val>
            <c:numRef>
              <c:f>Sensitivity!$G$5:$G$9</c:f>
              <c:numCache>
                <c:formatCode>0.0</c:formatCode>
                <c:ptCount val="5"/>
                <c:pt idx="0">
                  <c:v>221.601571266304</c:v>
                </c:pt>
                <c:pt idx="1">
                  <c:v>202.113645175113</c:v>
                </c:pt>
                <c:pt idx="2">
                  <c:v>186.521696718949</c:v>
                </c:pt>
                <c:pt idx="3">
                  <c:v>173.767570860652</c:v>
                </c:pt>
                <c:pt idx="4">
                  <c:v>163.137792992729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Sensitivity!$I$4</c:f>
              <c:strCache>
                <c:ptCount val="1"/>
                <c:pt idx="0">
                  <c:v>LCOE (Depth)</c:v>
                </c:pt>
              </c:strCache>
            </c:strRef>
          </c:tx>
          <c:spPr>
            <a:solidFill>
              <a:srgbClr val="7D5FA0"/>
            </a:solidFill>
            <a:ln w="12600">
              <a:solidFill>
                <a:srgbClr val="7D5FA0"/>
              </a:solidFill>
              <a:round/>
            </a:ln>
          </c:spPr>
          <c:marker>
            <c:symbol val="circle"/>
            <c:size val="5"/>
            <c:spPr>
              <a:solidFill>
                <a:srgbClr val="7D5FA0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Sensitivity!$A$5:$A$9</c:f>
              <c:strCache>
                <c:ptCount val="5"/>
                <c:pt idx="0">
                  <c:v>-20%</c:v>
                </c:pt>
                <c:pt idx="1">
                  <c:v>-10%</c:v>
                </c:pt>
                <c:pt idx="2">
                  <c:v>0%</c:v>
                </c:pt>
                <c:pt idx="3">
                  <c:v>10%</c:v>
                </c:pt>
                <c:pt idx="4">
                  <c:v>20%</c:v>
                </c:pt>
              </c:strCache>
            </c:strRef>
          </c:cat>
          <c:val>
            <c:numRef>
              <c:f>Sensitivity!$I$5:$I$9</c:f>
              <c:numCache>
                <c:formatCode>0.0</c:formatCode>
                <c:ptCount val="5"/>
                <c:pt idx="0">
                  <c:v>170.055983549665</c:v>
                </c:pt>
                <c:pt idx="1">
                  <c:v>178.289643925912</c:v>
                </c:pt>
                <c:pt idx="2">
                  <c:v>186.521696718949</c:v>
                </c:pt>
                <c:pt idx="3">
                  <c:v>194.756964678406</c:v>
                </c:pt>
                <c:pt idx="4">
                  <c:v>202.990625054653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Sensitivity!$K$4</c:f>
              <c:strCache>
                <c:ptCount val="1"/>
                <c:pt idx="0">
                  <c:v>LCOE (DrillCost)</c:v>
                </c:pt>
              </c:strCache>
            </c:strRef>
          </c:tx>
          <c:spPr>
            <a:solidFill>
              <a:srgbClr val="46AAC4"/>
            </a:solidFill>
            <a:ln w="12600">
              <a:solidFill>
                <a:srgbClr val="46AAC4"/>
              </a:solidFill>
              <a:round/>
            </a:ln>
          </c:spPr>
          <c:marker>
            <c:symbol val="circle"/>
            <c:size val="5"/>
            <c:spPr>
              <a:solidFill>
                <a:srgbClr val="46AAC4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Sensitivity!$A$5:$A$9</c:f>
              <c:strCache>
                <c:ptCount val="5"/>
                <c:pt idx="0">
                  <c:v>-20%</c:v>
                </c:pt>
                <c:pt idx="1">
                  <c:v>-10%</c:v>
                </c:pt>
                <c:pt idx="2">
                  <c:v>0%</c:v>
                </c:pt>
                <c:pt idx="3">
                  <c:v>10%</c:v>
                </c:pt>
                <c:pt idx="4">
                  <c:v>20%</c:v>
                </c:pt>
              </c:strCache>
            </c:strRef>
          </c:cat>
          <c:val>
            <c:numRef>
              <c:f>Sensitivity!$K$5:$K$9</c:f>
              <c:numCache>
                <c:formatCode>0.0</c:formatCode>
                <c:ptCount val="5"/>
                <c:pt idx="0">
                  <c:v>170.055983549665</c:v>
                </c:pt>
                <c:pt idx="1">
                  <c:v>178.289643925912</c:v>
                </c:pt>
                <c:pt idx="2">
                  <c:v>186.521696718949</c:v>
                </c:pt>
                <c:pt idx="3">
                  <c:v>194.756964678406</c:v>
                </c:pt>
                <c:pt idx="4">
                  <c:v>202.990625054653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7898974"/>
        <c:axId val="46132162"/>
      </c:lineChart>
      <c:catAx>
        <c:axId val="47898974"/>
        <c:scaling>
          <c:orientation val="minMax"/>
        </c:scaling>
        <c:delete val="0"/>
        <c:axPos val="b"/>
        <c:numFmt formatCode="0%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132162"/>
        <c:crosses val="autoZero"/>
        <c:auto val="1"/>
        <c:lblAlgn val="ctr"/>
        <c:lblOffset val="100"/>
        <c:noMultiLvlLbl val="0"/>
      </c:catAx>
      <c:valAx>
        <c:axId val="46132162"/>
        <c:scaling>
          <c:orientation val="minMax"/>
        </c:scaling>
        <c:delete val="0"/>
        <c:axPos val="l"/>
        <c:numFmt formatCode="0.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89897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</xdr:row>
      <xdr:rowOff>0</xdr:rowOff>
    </xdr:from>
    <xdr:to>
      <xdr:col>8</xdr:col>
      <xdr:colOff>447480</xdr:colOff>
      <xdr:row>32</xdr:row>
      <xdr:rowOff>149040</xdr:rowOff>
    </xdr:to>
    <xdr:graphicFrame>
      <xdr:nvGraphicFramePr>
        <xdr:cNvPr id="1" name="Chart 1"/>
        <xdr:cNvGraphicFramePr/>
      </xdr:nvGraphicFramePr>
      <xdr:xfrm>
        <a:off x="0" y="2200320"/>
        <a:ext cx="7918920" cy="3768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57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55"/>
  </cols>
  <sheetData>
    <row r="1" customFormat="false" ht="16.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14.25" hidden="false" customHeight="true" outlineLevel="0" collapsed="false">
      <c r="A4" s="4" t="s">
        <v>2</v>
      </c>
      <c r="B4" s="4"/>
      <c r="C4" s="4"/>
      <c r="D4" s="4"/>
    </row>
    <row r="5" customFormat="false" ht="14.25" hidden="false" customHeight="true" outlineLevel="0" collapsed="false">
      <c r="A5" s="1" t="s">
        <v>3</v>
      </c>
      <c r="B5" s="5" t="n">
        <v>5</v>
      </c>
      <c r="C5" s="1" t="s">
        <v>4</v>
      </c>
      <c r="D5" s="3" t="s">
        <v>5</v>
      </c>
    </row>
    <row r="6" customFormat="false" ht="14.25" hidden="false" customHeight="true" outlineLevel="0" collapsed="false">
      <c r="A6" s="1" t="s">
        <v>6</v>
      </c>
      <c r="B6" s="5" t="n">
        <v>5</v>
      </c>
      <c r="C6" s="1" t="s">
        <v>4</v>
      </c>
      <c r="D6" s="3"/>
    </row>
    <row r="7" customFormat="false" ht="14.25" hidden="false" customHeight="true" outlineLevel="0" collapsed="false">
      <c r="A7" s="1" t="s">
        <v>7</v>
      </c>
      <c r="B7" s="1" t="n">
        <f aca="false">B5+B6</f>
        <v>10</v>
      </c>
      <c r="C7" s="1" t="s">
        <v>4</v>
      </c>
      <c r="D7" s="3"/>
    </row>
    <row r="8" customFormat="false" ht="14.25" hidden="false" customHeight="true" outlineLevel="0" collapsed="false">
      <c r="A8" s="1" t="s">
        <v>8</v>
      </c>
      <c r="B8" s="5" t="n">
        <v>2</v>
      </c>
      <c r="C8" s="1" t="s">
        <v>4</v>
      </c>
      <c r="D8" s="3" t="s">
        <v>9</v>
      </c>
    </row>
    <row r="9" customFormat="false" ht="14.25" hidden="false" customHeight="true" outlineLevel="0" collapsed="false">
      <c r="A9" s="1" t="s">
        <v>10</v>
      </c>
      <c r="B9" s="5" t="n">
        <v>1120</v>
      </c>
      <c r="C9" s="1" t="s">
        <v>11</v>
      </c>
      <c r="D9" s="3" t="s">
        <v>12</v>
      </c>
    </row>
    <row r="10" customFormat="false" ht="14.25" hidden="false" customHeight="true" outlineLevel="0" collapsed="false">
      <c r="A10" s="1" t="s">
        <v>13</v>
      </c>
      <c r="B10" s="5" t="n">
        <v>4223.9</v>
      </c>
      <c r="C10" s="1" t="s">
        <v>14</v>
      </c>
      <c r="D10" s="3" t="s">
        <v>15</v>
      </c>
    </row>
    <row r="11" customFormat="false" ht="14.25" hidden="false" customHeight="true" outlineLevel="0" collapsed="false">
      <c r="A11" s="1" t="s">
        <v>16</v>
      </c>
      <c r="B11" s="6" t="n">
        <v>124.5327</v>
      </c>
      <c r="C11" s="1" t="s">
        <v>17</v>
      </c>
      <c r="D11" s="3" t="s">
        <v>18</v>
      </c>
    </row>
    <row r="12" customFormat="false" ht="14.25" hidden="false" customHeight="true" outlineLevel="0" collapsed="false">
      <c r="A12" s="4" t="s">
        <v>19</v>
      </c>
      <c r="B12" s="4"/>
      <c r="C12" s="4"/>
      <c r="D12" s="4"/>
    </row>
    <row r="13" customFormat="false" ht="14.25" hidden="false" customHeight="true" outlineLevel="0" collapsed="false">
      <c r="A13" s="1" t="s">
        <v>20</v>
      </c>
      <c r="B13" s="5" t="n">
        <v>20000</v>
      </c>
      <c r="C13" s="1" t="s">
        <v>21</v>
      </c>
      <c r="D13" s="3"/>
    </row>
    <row r="14" customFormat="false" ht="14.25" hidden="false" customHeight="true" outlineLevel="0" collapsed="false">
      <c r="A14" s="1" t="s">
        <v>22</v>
      </c>
      <c r="B14" s="5" t="n">
        <v>700000</v>
      </c>
      <c r="C14" s="1" t="s">
        <v>23</v>
      </c>
      <c r="D14" s="3"/>
    </row>
    <row r="15" customFormat="false" ht="14.25" hidden="false" customHeight="true" outlineLevel="0" collapsed="false">
      <c r="A15" s="1" t="s">
        <v>24</v>
      </c>
      <c r="B15" s="5" t="n">
        <v>400000</v>
      </c>
      <c r="C15" s="1" t="s">
        <v>25</v>
      </c>
      <c r="D15" s="3"/>
    </row>
    <row r="16" customFormat="false" ht="14.25" hidden="false" customHeight="true" outlineLevel="0" collapsed="false">
      <c r="A16" s="1" t="s">
        <v>26</v>
      </c>
      <c r="B16" s="5" t="n">
        <v>2200</v>
      </c>
      <c r="C16" s="1" t="s">
        <v>27</v>
      </c>
      <c r="D16" s="3" t="s">
        <v>28</v>
      </c>
    </row>
    <row r="17" customFormat="false" ht="14.25" hidden="false" customHeight="true" outlineLevel="0" collapsed="false">
      <c r="A17" s="1" t="s">
        <v>29</v>
      </c>
      <c r="B17" s="5" t="n">
        <v>500000</v>
      </c>
      <c r="C17" s="1" t="s">
        <v>30</v>
      </c>
      <c r="D17" s="3"/>
    </row>
    <row r="18" customFormat="false" ht="14.25" hidden="false" customHeight="true" outlineLevel="0" collapsed="false">
      <c r="A18" s="1" t="s">
        <v>31</v>
      </c>
      <c r="B18" s="5" t="n">
        <v>2000000</v>
      </c>
      <c r="C18" s="1" t="s">
        <v>32</v>
      </c>
      <c r="D18" s="3"/>
    </row>
    <row r="19" customFormat="false" ht="14.25" hidden="false" customHeight="true" outlineLevel="0" collapsed="false">
      <c r="A19" s="1" t="s">
        <v>33</v>
      </c>
      <c r="B19" s="5" t="n">
        <v>500000</v>
      </c>
      <c r="C19" s="1" t="s">
        <v>30</v>
      </c>
      <c r="D19" s="3"/>
    </row>
    <row r="20" customFormat="false" ht="14.25" hidden="false" customHeight="true" outlineLevel="0" collapsed="false">
      <c r="A20" s="1" t="s">
        <v>34</v>
      </c>
      <c r="B20" s="5" t="n">
        <v>750000</v>
      </c>
      <c r="C20" s="1" t="s">
        <v>30</v>
      </c>
      <c r="D20" s="3"/>
    </row>
    <row r="21" customFormat="false" ht="14.25" hidden="false" customHeight="true" outlineLevel="0" collapsed="false">
      <c r="A21" s="1" t="s">
        <v>35</v>
      </c>
      <c r="B21" s="5" t="n">
        <v>400000</v>
      </c>
      <c r="C21" s="1" t="s">
        <v>36</v>
      </c>
      <c r="D21" s="3"/>
    </row>
    <row r="22" customFormat="false" ht="14.25" hidden="false" customHeight="true" outlineLevel="0" collapsed="false">
      <c r="A22" s="1" t="s">
        <v>37</v>
      </c>
      <c r="B22" s="5" t="n">
        <v>3000000</v>
      </c>
      <c r="C22" s="1" t="s">
        <v>38</v>
      </c>
      <c r="D22" s="3"/>
    </row>
    <row r="23" customFormat="false" ht="14.25" hidden="false" customHeight="true" outlineLevel="0" collapsed="false">
      <c r="A23" s="1" t="s">
        <v>39</v>
      </c>
      <c r="B23" s="5" t="n">
        <v>2000000</v>
      </c>
      <c r="C23" s="1" t="s">
        <v>30</v>
      </c>
      <c r="D23" s="3"/>
    </row>
    <row r="24" customFormat="false" ht="14.25" hidden="false" customHeight="true" outlineLevel="0" collapsed="false">
      <c r="A24" s="1" t="s">
        <v>40</v>
      </c>
      <c r="B24" s="5" t="n">
        <v>10</v>
      </c>
      <c r="C24" s="1" t="s">
        <v>41</v>
      </c>
      <c r="D24" s="3" t="s">
        <v>42</v>
      </c>
    </row>
    <row r="25" customFormat="false" ht="14.25" hidden="false" customHeight="true" outlineLevel="0" collapsed="false">
      <c r="A25" s="1" t="s">
        <v>43</v>
      </c>
      <c r="B25" s="5" t="n">
        <v>0.15</v>
      </c>
      <c r="C25" s="1" t="s">
        <v>44</v>
      </c>
      <c r="D25" s="3" t="s">
        <v>45</v>
      </c>
    </row>
    <row r="26" customFormat="false" ht="14.25" hidden="false" customHeight="true" outlineLevel="0" collapsed="false">
      <c r="D26" s="3"/>
    </row>
    <row r="27" customFormat="false" ht="14.25" hidden="false" customHeight="true" outlineLevel="0" collapsed="false">
      <c r="A27" s="4" t="s">
        <v>46</v>
      </c>
      <c r="B27" s="4"/>
      <c r="C27" s="4"/>
      <c r="D27" s="4"/>
    </row>
    <row r="28" customFormat="false" ht="14.25" hidden="false" customHeight="true" outlineLevel="0" collapsed="false">
      <c r="A28" s="1" t="s">
        <v>47</v>
      </c>
      <c r="B28" s="5" t="n">
        <v>0.1</v>
      </c>
      <c r="C28" s="1" t="s">
        <v>44</v>
      </c>
      <c r="D28" s="3"/>
    </row>
    <row r="29" customFormat="false" ht="14.25" hidden="false" customHeight="true" outlineLevel="0" collapsed="false">
      <c r="A29" s="1" t="s">
        <v>48</v>
      </c>
      <c r="B29" s="5" t="n">
        <v>20</v>
      </c>
      <c r="C29" s="1" t="s">
        <v>49</v>
      </c>
      <c r="D29" s="3"/>
    </row>
    <row r="30" customFormat="false" ht="14.25" hidden="false" customHeight="true" outlineLevel="0" collapsed="false">
      <c r="A30" s="1" t="s">
        <v>50</v>
      </c>
      <c r="B30" s="5" t="n">
        <v>0.95</v>
      </c>
      <c r="C30" s="1" t="s">
        <v>44</v>
      </c>
      <c r="D30" s="3" t="s">
        <v>51</v>
      </c>
    </row>
    <row r="31" customFormat="false" ht="14.25" hidden="false" customHeight="true" outlineLevel="0" collapsed="false">
      <c r="A31" s="1" t="s">
        <v>52</v>
      </c>
      <c r="B31" s="1" t="n">
        <f aca="false">B30*8760</f>
        <v>8322</v>
      </c>
      <c r="C31" s="1" t="s">
        <v>53</v>
      </c>
      <c r="D31" s="3"/>
    </row>
    <row r="32" customFormat="false" ht="14.25" hidden="false" customHeight="true" outlineLevel="0" collapsed="false">
      <c r="A32" s="1" t="s">
        <v>54</v>
      </c>
      <c r="B32" s="5" t="n">
        <v>13</v>
      </c>
      <c r="C32" s="1" t="s">
        <v>55</v>
      </c>
      <c r="D32" s="3"/>
    </row>
    <row r="33" customFormat="false" ht="14.25" hidden="false" customHeight="true" outlineLevel="0" collapsed="false">
      <c r="A33" s="1" t="s">
        <v>56</v>
      </c>
      <c r="B33" s="5" t="n">
        <v>0</v>
      </c>
      <c r="C33" s="1" t="s">
        <v>57</v>
      </c>
      <c r="D33" s="3" t="s">
        <v>58</v>
      </c>
    </row>
    <row r="34" customFormat="false" ht="14.25" hidden="false" customHeight="true" outlineLevel="0" collapsed="false">
      <c r="A34" s="1" t="s">
        <v>59</v>
      </c>
      <c r="B34" s="1" t="n">
        <f aca="false">B28*(1+B28)^B29/((1+B28)^B29-1)</f>
        <v>0.117459624772546</v>
      </c>
      <c r="C34" s="1" t="s">
        <v>44</v>
      </c>
      <c r="D34" s="3" t="s">
        <v>60</v>
      </c>
    </row>
  </sheetData>
  <mergeCells count="3">
    <mergeCell ref="A4:D4"/>
    <mergeCell ref="A12:D12"/>
    <mergeCell ref="A27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3" min="2" style="1" width="14"/>
    <col collapsed="false" customWidth="true" hidden="false" outlineLevel="0" max="5" min="4" style="1" width="16"/>
    <col collapsed="false" customWidth="true" hidden="false" outlineLevel="0" max="6" min="6" style="1" width="11"/>
  </cols>
  <sheetData>
    <row r="1" customFormat="false" ht="16.5" hidden="false" customHeight="true" outlineLevel="0" collapsed="false">
      <c r="A1" s="2" t="s">
        <v>61</v>
      </c>
    </row>
    <row r="2" customFormat="false" ht="14.25" hidden="false" customHeight="true" outlineLevel="0" collapsed="false">
      <c r="A2" s="3" t="s">
        <v>62</v>
      </c>
    </row>
    <row r="4" customFormat="false" ht="14.25" hidden="false" customHeight="true" outlineLevel="0" collapsed="false">
      <c r="A4" s="7" t="s">
        <v>63</v>
      </c>
      <c r="B4" s="1" t="n">
        <f aca="false">Assumptions!B10/(1-Assumptions!B25)/1000</f>
        <v>4.96929411764706</v>
      </c>
    </row>
    <row r="6" customFormat="false" ht="14.25" hidden="false" customHeight="true" outlineLevel="0" collapsed="false">
      <c r="A6" s="8" t="s">
        <v>64</v>
      </c>
      <c r="B6" s="8" t="s">
        <v>65</v>
      </c>
      <c r="C6" s="8" t="s">
        <v>66</v>
      </c>
      <c r="D6" s="8" t="s">
        <v>67</v>
      </c>
      <c r="E6" s="8" t="s">
        <v>68</v>
      </c>
      <c r="F6" s="8" t="s">
        <v>69</v>
      </c>
    </row>
    <row r="7" customFormat="false" ht="14.25" hidden="false" customHeight="true" outlineLevel="0" collapsed="false">
      <c r="A7" s="1" t="s">
        <v>70</v>
      </c>
      <c r="B7" s="1" t="s">
        <v>41</v>
      </c>
      <c r="C7" s="1" t="n">
        <f aca="false">Assumptions!B24</f>
        <v>10</v>
      </c>
      <c r="D7" s="9" t="n">
        <f aca="false">Assumptions!B13</f>
        <v>20000</v>
      </c>
      <c r="E7" s="9" t="n">
        <f aca="false">C7*D7</f>
        <v>200000</v>
      </c>
      <c r="F7" s="10" t="n">
        <f aca="false">E7/$E$18</f>
        <v>0.0038514430450868</v>
      </c>
    </row>
    <row r="8" customFormat="false" ht="14.25" hidden="false" customHeight="true" outlineLevel="0" collapsed="false">
      <c r="A8" s="1" t="s">
        <v>71</v>
      </c>
      <c r="B8" s="1" t="s">
        <v>4</v>
      </c>
      <c r="C8" s="1" t="n">
        <f aca="false">Assumptions!B8</f>
        <v>2</v>
      </c>
      <c r="D8" s="9" t="n">
        <f aca="false">Assumptions!B14</f>
        <v>700000</v>
      </c>
      <c r="E8" s="9" t="n">
        <f aca="false">C8*D8</f>
        <v>1400000</v>
      </c>
      <c r="F8" s="10" t="n">
        <f aca="false">E8/$E$18</f>
        <v>0.0269601013156076</v>
      </c>
    </row>
    <row r="9" customFormat="false" ht="14.25" hidden="false" customHeight="true" outlineLevel="0" collapsed="false">
      <c r="A9" s="1" t="s">
        <v>72</v>
      </c>
      <c r="B9" s="1" t="s">
        <v>4</v>
      </c>
      <c r="C9" s="1" t="n">
        <f aca="false">Assumptions!B7</f>
        <v>10</v>
      </c>
      <c r="D9" s="9" t="n">
        <f aca="false">Assumptions!B15</f>
        <v>400000</v>
      </c>
      <c r="E9" s="9" t="n">
        <f aca="false">C9*D9</f>
        <v>4000000</v>
      </c>
      <c r="F9" s="10" t="n">
        <f aca="false">E9/$E$18</f>
        <v>0.0770288609017361</v>
      </c>
    </row>
    <row r="10" customFormat="false" ht="14.25" hidden="false" customHeight="true" outlineLevel="0" collapsed="false">
      <c r="A10" s="1" t="s">
        <v>73</v>
      </c>
      <c r="B10" s="1" t="s">
        <v>74</v>
      </c>
      <c r="C10" s="1" t="n">
        <f aca="false">Assumptions!B7*Assumptions!B9</f>
        <v>11200</v>
      </c>
      <c r="D10" s="9" t="n">
        <f aca="false">Assumptions!B16</f>
        <v>2200</v>
      </c>
      <c r="E10" s="9" t="n">
        <f aca="false">C10*D10</f>
        <v>24640000</v>
      </c>
      <c r="F10" s="10" t="n">
        <f aca="false">E10/$E$18</f>
        <v>0.474497783154694</v>
      </c>
    </row>
    <row r="11" customFormat="false" ht="14.25" hidden="false" customHeight="true" outlineLevel="0" collapsed="false">
      <c r="A11" s="1" t="s">
        <v>29</v>
      </c>
      <c r="B11" s="1" t="s">
        <v>75</v>
      </c>
      <c r="C11" s="1" t="n">
        <v>1</v>
      </c>
      <c r="D11" s="9" t="n">
        <f aca="false">Assumptions!B17</f>
        <v>500000</v>
      </c>
      <c r="E11" s="9" t="n">
        <f aca="false">C11*D11</f>
        <v>500000</v>
      </c>
      <c r="F11" s="10" t="n">
        <f aca="false">E11/$E$18</f>
        <v>0.00962860761271701</v>
      </c>
    </row>
    <row r="12" customFormat="false" ht="14.25" hidden="false" customHeight="true" outlineLevel="0" collapsed="false">
      <c r="A12" s="1" t="s">
        <v>76</v>
      </c>
      <c r="B12" s="1" t="s">
        <v>77</v>
      </c>
      <c r="C12" s="1" t="n">
        <f aca="false">B4</f>
        <v>4.96929411764706</v>
      </c>
      <c r="D12" s="9" t="n">
        <f aca="false">Assumptions!B18</f>
        <v>2000000</v>
      </c>
      <c r="E12" s="9" t="n">
        <f aca="false">C12*D12</f>
        <v>9938588.23529412</v>
      </c>
      <c r="F12" s="10" t="n">
        <f aca="false">E12/$E$18</f>
        <v>0.191389532684025</v>
      </c>
    </row>
    <row r="13" customFormat="false" ht="14.25" hidden="false" customHeight="true" outlineLevel="0" collapsed="false">
      <c r="A13" s="1" t="s">
        <v>78</v>
      </c>
      <c r="B13" s="1" t="s">
        <v>75</v>
      </c>
      <c r="C13" s="1" t="n">
        <v>1</v>
      </c>
      <c r="D13" s="9" t="n">
        <f aca="false">Assumptions!B19</f>
        <v>500000</v>
      </c>
      <c r="E13" s="9" t="n">
        <f aca="false">C13*D13</f>
        <v>500000</v>
      </c>
      <c r="F13" s="10" t="n">
        <f aca="false">E13/$E$18</f>
        <v>0.00962860761271701</v>
      </c>
    </row>
    <row r="14" customFormat="false" ht="14.25" hidden="false" customHeight="true" outlineLevel="0" collapsed="false">
      <c r="A14" s="1" t="s">
        <v>79</v>
      </c>
      <c r="B14" s="1" t="s">
        <v>75</v>
      </c>
      <c r="C14" s="1" t="n">
        <v>1</v>
      </c>
      <c r="D14" s="9" t="n">
        <f aca="false">Assumptions!B20</f>
        <v>750000</v>
      </c>
      <c r="E14" s="9" t="n">
        <f aca="false">C14*D14</f>
        <v>750000</v>
      </c>
      <c r="F14" s="10" t="n">
        <f aca="false">E14/$E$18</f>
        <v>0.0144429114190755</v>
      </c>
    </row>
    <row r="15" customFormat="false" ht="14.25" hidden="false" customHeight="true" outlineLevel="0" collapsed="false">
      <c r="A15" s="1" t="s">
        <v>80</v>
      </c>
      <c r="B15" s="1" t="s">
        <v>81</v>
      </c>
      <c r="C15" s="1" t="n">
        <f aca="false">Assumptions!B5</f>
        <v>5</v>
      </c>
      <c r="D15" s="9" t="n">
        <f aca="false">Assumptions!B21</f>
        <v>400000</v>
      </c>
      <c r="E15" s="9" t="n">
        <f aca="false">C15*D15</f>
        <v>2000000</v>
      </c>
      <c r="F15" s="10" t="n">
        <f aca="false">E15/$E$18</f>
        <v>0.0385144304508681</v>
      </c>
    </row>
    <row r="16" customFormat="false" ht="14.25" hidden="false" customHeight="true" outlineLevel="0" collapsed="false">
      <c r="A16" s="1" t="s">
        <v>82</v>
      </c>
      <c r="B16" s="1" t="s">
        <v>83</v>
      </c>
      <c r="C16" s="1" t="n">
        <f aca="false">Assumptions!B8</f>
        <v>2</v>
      </c>
      <c r="D16" s="9" t="n">
        <f aca="false">Assumptions!B22</f>
        <v>3000000</v>
      </c>
      <c r="E16" s="9" t="n">
        <f aca="false">C16*D16</f>
        <v>6000000</v>
      </c>
      <c r="F16" s="10" t="n">
        <f aca="false">E16/$E$18</f>
        <v>0.115543291352604</v>
      </c>
    </row>
    <row r="17" customFormat="false" ht="14.25" hidden="false" customHeight="true" outlineLevel="0" collapsed="false">
      <c r="A17" s="1" t="s">
        <v>84</v>
      </c>
      <c r="B17" s="1" t="s">
        <v>75</v>
      </c>
      <c r="C17" s="1" t="n">
        <v>1</v>
      </c>
      <c r="D17" s="9" t="n">
        <f aca="false">Assumptions!B23</f>
        <v>2000000</v>
      </c>
      <c r="E17" s="9" t="n">
        <f aca="false">C17*D17</f>
        <v>2000000</v>
      </c>
      <c r="F17" s="10" t="n">
        <f aca="false">E17/$E$18</f>
        <v>0.0385144304508681</v>
      </c>
    </row>
    <row r="18" customFormat="false" ht="14.25" hidden="false" customHeight="true" outlineLevel="0" collapsed="false">
      <c r="A18" s="11" t="s">
        <v>85</v>
      </c>
      <c r="B18" s="12"/>
      <c r="C18" s="12"/>
      <c r="D18" s="13"/>
      <c r="E18" s="14" t="n">
        <f aca="false">SUM(E7:E17)</f>
        <v>51928588.2352941</v>
      </c>
    </row>
    <row r="20" customFormat="false" ht="14.25" hidden="false" customHeight="true" outlineLevel="0" collapsed="false">
      <c r="A20" s="7" t="s">
        <v>86</v>
      </c>
      <c r="B20" s="15" t="n">
        <f aca="false">E18/Assumptions!B10</f>
        <v>12293.9909172315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</cols>
  <sheetData>
    <row r="1" customFormat="false" ht="16.5" hidden="false" customHeight="true" outlineLevel="0" collapsed="false">
      <c r="A1" s="2" t="s">
        <v>87</v>
      </c>
    </row>
    <row r="2" customFormat="false" ht="14.25" hidden="false" customHeight="true" outlineLevel="0" collapsed="false">
      <c r="A2" s="3" t="s">
        <v>88</v>
      </c>
    </row>
    <row r="4" customFormat="false" ht="14.25" hidden="false" customHeight="true" outlineLevel="0" collapsed="false">
      <c r="A4" s="1" t="s">
        <v>89</v>
      </c>
      <c r="B4" s="9" t="n">
        <f aca="false">CAPEX_Group3!E18</f>
        <v>51928588.2352941</v>
      </c>
    </row>
    <row r="5" customFormat="false" ht="14.25" hidden="false" customHeight="true" outlineLevel="0" collapsed="false">
      <c r="A5" s="1" t="s">
        <v>90</v>
      </c>
      <c r="B5" s="16" t="n">
        <f aca="false">Assumptions!B10</f>
        <v>4223.9</v>
      </c>
    </row>
    <row r="6" customFormat="false" ht="14.25" hidden="false" customHeight="true" outlineLevel="0" collapsed="false">
      <c r="A6" s="1" t="s">
        <v>91</v>
      </c>
      <c r="B6" s="15" t="n">
        <f aca="false">B4/B5</f>
        <v>12293.9909172315</v>
      </c>
    </row>
    <row r="7" customFormat="false" ht="14.25" hidden="false" customHeight="true" outlineLevel="0" collapsed="false">
      <c r="A7" s="1" t="s">
        <v>59</v>
      </c>
      <c r="B7" s="6" t="n">
        <f aca="false">Assumptions!B34</f>
        <v>0.117459624772546</v>
      </c>
    </row>
    <row r="8" customFormat="false" ht="14.25" hidden="false" customHeight="true" outlineLevel="0" collapsed="false">
      <c r="A8" s="1" t="s">
        <v>56</v>
      </c>
      <c r="B8" s="17" t="n">
        <f aca="false">Assumptions!B33</f>
        <v>0</v>
      </c>
    </row>
    <row r="9" customFormat="false" ht="14.25" hidden="false" customHeight="true" outlineLevel="0" collapsed="false">
      <c r="A9" s="1" t="s">
        <v>52</v>
      </c>
      <c r="B9" s="18" t="n">
        <f aca="false">Assumptions!B31</f>
        <v>8322</v>
      </c>
    </row>
    <row r="10" customFormat="false" ht="14.25" hidden="false" customHeight="true" outlineLevel="0" collapsed="false">
      <c r="A10" s="1" t="s">
        <v>54</v>
      </c>
      <c r="B10" s="19" t="n">
        <f aca="false">Assumptions!B32</f>
        <v>13</v>
      </c>
    </row>
    <row r="12" customFormat="false" ht="15" hidden="false" customHeight="true" outlineLevel="0" collapsed="false">
      <c r="A12" s="20" t="s">
        <v>92</v>
      </c>
      <c r="B12" s="21" t="n">
        <f aca="false">(B6*B7+B8)/B9*1000+B10</f>
        <v>186.521696718949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false" tabSelected="true" showOutlineSymbols="true" defaultGridColor="true" view="normal" topLeftCell="A12" colorId="64" zoomScale="100" zoomScaleNormal="100" zoomScalePageLayoutView="100" workbookViewId="0">
      <selection pane="topLeft" activeCell="G11" activeCellId="0" sqref="G11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4" min="4" style="1" width="16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15"/>
  </cols>
  <sheetData>
    <row r="1" customFormat="false" ht="16.5" hidden="false" customHeight="true" outlineLevel="0" collapsed="false">
      <c r="A1" s="2" t="s">
        <v>93</v>
      </c>
    </row>
    <row r="2" customFormat="false" ht="14.25" hidden="false" customHeight="true" outlineLevel="0" collapsed="false">
      <c r="A2" s="3" t="s">
        <v>94</v>
      </c>
    </row>
    <row r="4" customFormat="false" ht="14.25" hidden="false" customHeight="true" outlineLevel="0" collapsed="false">
      <c r="A4" s="8" t="s">
        <v>95</v>
      </c>
      <c r="B4" s="8" t="s">
        <v>96</v>
      </c>
      <c r="C4" s="8" t="s">
        <v>97</v>
      </c>
      <c r="D4" s="8" t="s">
        <v>98</v>
      </c>
      <c r="E4" s="8" t="s">
        <v>99</v>
      </c>
      <c r="F4" s="8" t="s">
        <v>100</v>
      </c>
      <c r="G4" s="8" t="s">
        <v>101</v>
      </c>
      <c r="H4" s="8" t="s">
        <v>102</v>
      </c>
      <c r="I4" s="8" t="s">
        <v>103</v>
      </c>
      <c r="J4" s="8" t="s">
        <v>104</v>
      </c>
      <c r="K4" s="8" t="s">
        <v>105</v>
      </c>
    </row>
    <row r="5" customFormat="false" ht="14.25" hidden="false" customHeight="true" outlineLevel="0" collapsed="false">
      <c r="A5" s="22" t="n">
        <v>-0.2</v>
      </c>
      <c r="B5" s="1" t="n">
        <f aca="false">Assumptions!$B$11*(1+A5)</f>
        <v>99.62616</v>
      </c>
      <c r="C5" s="23" t="n">
        <f aca="false">(((17350000+((2200)*(1120)*10)+(2000000*(((((150)*0.917)*4.31*((B5)-(50)))*(0.52*(1-(273.15+19.9590607511086)/(273.15+(((B5)-(50))/LN((273.15+(B5))/(273.15+(50)))-273.15)))))/0.85/1000)))/((((150)*0.917)*4.31*((B5)-(50)))*(0.52*(1-(273.15+19.9590607511086)/(273.15+(((B5)-(50))/LN((273.15+(B5))/(273.15+(50)))-273.15))))))*0.117459624772546)/8322*1000+13</f>
        <v>294.205381211103</v>
      </c>
      <c r="D5" s="1" t="n">
        <v>40</v>
      </c>
      <c r="E5" s="23" t="n">
        <f aca="false">(((17350000+((2200)*(1120)*10)+(2000000*(((((150)*0.917)*4.31*((Assumptions!$B$11)-(40)))*(0.52*(1-(273.15+19.9590607511086)/(273.15+(((Assumptions!$B$11)-(40))/LN((273.15+(Assumptions!$B$11))/(273.15+(40)))-273.15)))))/0.85/1000)))/((((150)*0.917)*4.31*((Assumptions!$B$11)-(40)))*(0.52*(1-(273.15+19.9590607511086)/(273.15+(((Assumptions!$B$11)-(40))/LN((273.15+(Assumptions!$B$11))/(273.15+(40)))-273.15))))))*0.117459624772546)/8322*1000+13</f>
        <v>178.907854076065</v>
      </c>
      <c r="F5" s="1" t="n">
        <v>120</v>
      </c>
      <c r="G5" s="23" t="n">
        <f aca="false">(((17350000+((2200)*(1120)*10)+(2000000*(((((120)*0.917)*4.31*((Assumptions!$B$11)-(50)))*(0.52*(1-(273.15+19.9590607511086)/(273.15+(((Assumptions!$B$11)-(50))/LN((273.15+(Assumptions!$B$11))/(273.15+(50)))-273.15)))))/0.85/1000)))/((((120)*0.917)*4.31*((Assumptions!$B$11)-(50)))*(0.52*(1-(273.15+19.9590607511086)/(273.15+(((Assumptions!$B$11)-(50))/LN((273.15+(Assumptions!$B$11))/(273.15+(50)))-273.15))))))*0.117459624772546)/8322*1000+13</f>
        <v>221.601571266304</v>
      </c>
      <c r="H5" s="1" t="n">
        <v>896</v>
      </c>
      <c r="I5" s="23" t="n">
        <f aca="false">(((17350000+((2200)*(896)*10)+(2000000*(((((150)*0.917)*4.31*((Assumptions!$B$11)-(50)))*(0.52*(1-(273.15+19.9590607511086)/(273.15+(((Assumptions!$B$11)-(50))/LN((273.15+(Assumptions!$B$11))/(273.15+(50)))-273.15)))))/0.85/1000)))/((((150)*0.917)*4.31*((Assumptions!$B$11)-(50)))*(0.52*(1-(273.15+19.9590607511086)/(273.15+(((Assumptions!$B$11)-(50))/LN((273.15+(Assumptions!$B$11))/(273.15+(50)))-273.15))))))*0.117459624772546)/8322*1000+13</f>
        <v>170.055983549665</v>
      </c>
      <c r="J5" s="1" t="n">
        <v>1760</v>
      </c>
      <c r="K5" s="23" t="n">
        <f aca="false">(((17350000+((1760)*(1120)*10)+(2000000*(((((150)*0.917)*4.31*((Assumptions!$B$11)-(50)))*(0.52*(1-(273.15+19.9590607511086)/(273.15+(((Assumptions!$B$11)-(50))/LN((273.15+(Assumptions!$B$11))/(273.15+(50)))-273.15)))))/0.85/1000)))/((((150)*0.917)*4.31*((Assumptions!$B$11)-(50)))*(0.52*(1-(273.15+19.9590607511086)/(273.15+(((Assumptions!$B$11)-(50))/LN((273.15+(Assumptions!$B$11))/(273.15+(50)))-273.15))))))*0.117459624772546)/8322*1000+13</f>
        <v>170.055983549665</v>
      </c>
    </row>
    <row r="6" customFormat="false" ht="14.25" hidden="false" customHeight="true" outlineLevel="0" collapsed="false">
      <c r="A6" s="22" t="n">
        <v>-0.1</v>
      </c>
      <c r="B6" s="1" t="n">
        <f aca="false">Assumptions!$B$11*(1+A6)</f>
        <v>112.07943</v>
      </c>
      <c r="C6" s="23" t="n">
        <f aca="false">(((17350000+((2200)*(1120)*10)+(2000000*(((((150)*0.917)*4.31*((B6)-(50)))*(0.52*(1-(273.15+19.9590607511086)/(273.15+(((B6)-(50))/LN((273.15+(B6))/(273.15+(50)))-273.15)))))/0.85/1000)))/((((150)*0.917)*4.31*((B6)-(50)))*(0.52*(1-(273.15+19.9590607511086)/(273.15+(((B6)-(50))/LN((273.15+(B6))/(273.15+(50)))-273.15))))))*0.117459624772546)/8322*1000+13</f>
        <v>228.030966631161</v>
      </c>
      <c r="D6" s="1" t="n">
        <v>45</v>
      </c>
      <c r="E6" s="23" t="n">
        <f aca="false">(((17350000+((2200)*(1120)*10)+(2000000*(((((150)*0.917)*4.31*((Assumptions!$B$11)-(45)))*(0.52*(1-(273.15+19.9590607511086)/(273.15+(((Assumptions!$B$11)-(45))/LN((273.15+(Assumptions!$B$11))/(273.15+(45)))-273.15)))))/0.85/1000)))/((((150)*0.917)*4.31*((Assumptions!$B$11)-(45)))*(0.52*(1-(273.15+19.9590607511086)/(273.15+(((Assumptions!$B$11)-(45))/LN((273.15+(Assumptions!$B$11))/(273.15+(45)))-273.15))))))*0.117459624772546)/8322*1000+13</f>
        <v>182.259925240325</v>
      </c>
      <c r="F6" s="1" t="n">
        <v>135</v>
      </c>
      <c r="G6" s="23" t="n">
        <f aca="false">(((17350000+((2200)*(1120)*10)+(2000000*(((((135)*0.917)*4.31*((Assumptions!$B$11)-(50)))*(0.52*(1-(273.15+19.9590607511086)/(273.15+(((Assumptions!$B$11)-(50))/LN((273.15+(Assumptions!$B$11))/(273.15+(50)))-273.15)))))/0.85/1000)))/((((135)*0.917)*4.31*((Assumptions!$B$11)-(50)))*(0.52*(1-(273.15+19.9590607511086)/(273.15+(((Assumptions!$B$11)-(50))/LN((273.15+(Assumptions!$B$11))/(273.15+(50)))-273.15))))))*0.117459624772546)/8322*1000+13</f>
        <v>202.113645175113</v>
      </c>
      <c r="H6" s="1" t="n">
        <v>1008</v>
      </c>
      <c r="I6" s="23" t="n">
        <f aca="false">(((17350000+((2200)*(1008)*10)+(2000000*(((((150)*0.917)*4.31*((Assumptions!$B$11)-(50)))*(0.52*(1-(273.15+19.9590607511086)/(273.15+(((Assumptions!$B$11)-(50))/LN((273.15+(Assumptions!$B$11))/(273.15+(50)))-273.15)))))/0.85/1000)))/((((150)*0.917)*4.31*((Assumptions!$B$11)-(50)))*(0.52*(1-(273.15+19.9590607511086)/(273.15+(((Assumptions!$B$11)-(50))/LN((273.15+(Assumptions!$B$11))/(273.15+(50)))-273.15))))))*0.117459624772546)/8322*1000+13</f>
        <v>178.289643925912</v>
      </c>
      <c r="J6" s="1" t="n">
        <v>1980</v>
      </c>
      <c r="K6" s="23" t="n">
        <f aca="false">(((17350000+((1980)*(1120)*10)+(2000000*(((((150)*0.917)*4.31*((Assumptions!$B$11)-(50)))*(0.52*(1-(273.15+19.9590607511086)/(273.15+(((Assumptions!$B$11)-(50))/LN((273.15+(Assumptions!$B$11))/(273.15+(50)))-273.15)))))/0.85/1000)))/((((150)*0.917)*4.31*((Assumptions!$B$11)-(50)))*(0.52*(1-(273.15+19.9590607511086)/(273.15+(((Assumptions!$B$11)-(50))/LN((273.15+(Assumptions!$B$11))/(273.15+(50)))-273.15))))))*0.117459624772546)/8322*1000+13</f>
        <v>178.289643925912</v>
      </c>
    </row>
    <row r="7" customFormat="false" ht="14.25" hidden="false" customHeight="true" outlineLevel="0" collapsed="false">
      <c r="A7" s="22" t="n">
        <v>0</v>
      </c>
      <c r="B7" s="6" t="n">
        <f aca="false">Assumptions!$B$11</f>
        <v>124.5327</v>
      </c>
      <c r="C7" s="23" t="n">
        <f aca="false">LCOE_Group3!$B$12</f>
        <v>186.521696718949</v>
      </c>
      <c r="D7" s="1" t="n">
        <v>50</v>
      </c>
      <c r="E7" s="23" t="n">
        <f aca="false">LCOE_Group3!$B$12</f>
        <v>186.521696718949</v>
      </c>
      <c r="F7" s="1" t="n">
        <v>150</v>
      </c>
      <c r="G7" s="23" t="n">
        <f aca="false">LCOE_Group3!$B$12</f>
        <v>186.521696718949</v>
      </c>
      <c r="H7" s="1" t="n">
        <v>1120</v>
      </c>
      <c r="I7" s="23" t="n">
        <f aca="false">LCOE_Group3!$B$12</f>
        <v>186.521696718949</v>
      </c>
      <c r="J7" s="1" t="n">
        <v>2200</v>
      </c>
      <c r="K7" s="23" t="n">
        <f aca="false">LCOE_Group3!$B$12</f>
        <v>186.521696718949</v>
      </c>
    </row>
    <row r="8" customFormat="false" ht="14.25" hidden="false" customHeight="true" outlineLevel="0" collapsed="false">
      <c r="A8" s="22" t="n">
        <v>0.1</v>
      </c>
      <c r="B8" s="1" t="n">
        <f aca="false">Assumptions!$B$11*(1+A8)</f>
        <v>136.98597</v>
      </c>
      <c r="C8" s="23" t="n">
        <f aca="false">(((17350000+((2200)*(1120)*10)+(2000000*(((((150)*0.917)*4.31*((B8)-(50)))*(0.52*(1-(273.15+19.9590607511086)/(273.15+(((B8)-(50))/LN((273.15+(B8))/(273.15+(50)))-273.15)))))/0.85/1000)))/((((150)*0.917)*4.31*((B8)-(50)))*(0.52*(1-(273.15+19.9590607511086)/(273.15+(((B8)-(50))/LN((273.15+(B8))/(273.15+(50)))-273.15))))))*0.117459624772546)/8322*1000+13</f>
        <v>158.525671343925</v>
      </c>
      <c r="D8" s="1" t="n">
        <v>55</v>
      </c>
      <c r="E8" s="23" t="n">
        <f aca="false">(((17350000+((2200)*(1120)*10)+(2000000*(((((150)*0.917)*4.31*((Assumptions!$B$11)-(55)))*(0.52*(1-(273.15+19.9590607511086)/(273.15+(((Assumptions!$B$11)-(55))/LN((273.15+(Assumptions!$B$11))/(273.15+(55)))-273.15)))))/0.85/1000)))/((((150)*0.917)*4.31*((Assumptions!$B$11)-(55)))*(0.52*(1-(273.15+19.9590607511086)/(273.15+(((Assumptions!$B$11)-(55))/LN((273.15+(Assumptions!$B$11))/(273.15+(55)))-273.15))))))*0.117459624772546)/8322*1000+13</f>
        <v>191.832547542768</v>
      </c>
      <c r="F8" s="1" t="n">
        <v>165</v>
      </c>
      <c r="G8" s="23" t="n">
        <f aca="false">(((17350000+((2200)*(1120)*10)+(2000000*(((((165)*0.917)*4.31*((Assumptions!$B$11)-(50)))*(0.52*(1-(273.15+19.9590607511086)/(273.15+(((Assumptions!$B$11)-(50))/LN((273.15+(Assumptions!$B$11))/(273.15+(50)))-273.15)))))/0.85/1000)))/((((165)*0.917)*4.31*((Assumptions!$B$11)-(50)))*(0.52*(1-(273.15+19.9590607511086)/(273.15+(((Assumptions!$B$11)-(50))/LN((273.15+(Assumptions!$B$11))/(273.15+(50)))-273.15))))))*0.117459624772546)/8322*1000+13</f>
        <v>173.767570860652</v>
      </c>
      <c r="H8" s="1" t="n">
        <v>1232</v>
      </c>
      <c r="I8" s="23" t="n">
        <f aca="false">(((17350000+((2200)*(1232)*10)+(2000000*(((((150)*0.917)*4.31*((Assumptions!$B$11)-(50)))*(0.52*(1-(273.15+19.9590607511086)/(273.15+(((Assumptions!$B$11)-(50))/LN((273.15+(Assumptions!$B$11))/(273.15+(50)))-273.15)))))/0.85/1000)))/((((150)*0.917)*4.31*((Assumptions!$B$11)-(50)))*(0.52*(1-(273.15+19.9590607511086)/(273.15+(((Assumptions!$B$11)-(50))/LN((273.15+(Assumptions!$B$11))/(273.15+(50)))-273.15))))))*0.117459624772546)/8322*1000+13</f>
        <v>194.756964678406</v>
      </c>
      <c r="J8" s="1" t="n">
        <v>2420</v>
      </c>
      <c r="K8" s="23" t="n">
        <f aca="false">(((17350000+((2420)*(1120)*10)+(2000000*(((((150)*0.917)*4.31*((Assumptions!$B$11)-(50)))*(0.52*(1-(273.15+19.9590607511086)/(273.15+(((Assumptions!$B$11)-(50))/LN((273.15+(Assumptions!$B$11))/(273.15+(50)))-273.15)))))/0.85/1000)))/((((150)*0.917)*4.31*((Assumptions!$B$11)-(50)))*(0.52*(1-(273.15+19.9590607511086)/(273.15+(((Assumptions!$B$11)-(50))/LN((273.15+(Assumptions!$B$11))/(273.15+(50)))-273.15))))))*0.117459624772546)/8322*1000+13</f>
        <v>194.756964678406</v>
      </c>
    </row>
    <row r="9" customFormat="false" ht="14.25" hidden="false" customHeight="true" outlineLevel="0" collapsed="false">
      <c r="A9" s="22" t="n">
        <v>0.2</v>
      </c>
      <c r="B9" s="1" t="n">
        <f aca="false">Assumptions!$B$11*(1+A9)</f>
        <v>149.43924</v>
      </c>
      <c r="C9" s="23" t="n">
        <f aca="false">(((17350000+((2200)*(1120)*10)+(2000000*(((((150)*0.917)*4.31*((B9)-(50)))*(0.52*(1-(273.15+19.9590607511086)/(273.15+(((B9)-(50))/LN((273.15+(B9))/(273.15+(50)))-273.15)))))/0.85/1000)))/((((150)*0.917)*4.31*((B9)-(50)))*(0.52*(1-(273.15+19.9590607511086)/(273.15+(((B9)-(50))/LN((273.15+(B9))/(273.15+(50)))-273.15))))))*0.117459624772546)/8322*1000+13</f>
        <v>138.625693697318</v>
      </c>
      <c r="D9" s="1" t="n">
        <v>60</v>
      </c>
      <c r="E9" s="23" t="n">
        <f aca="false">(((17350000+((2200)*(1120)*10)+(2000000*(((((150)*0.917)*4.31*((Assumptions!$B$11)-(60)))*(0.52*(1-(273.15+19.9590607511086)/(273.15+(((Assumptions!$B$11)-(60))/LN((273.15+(Assumptions!$B$11))/(273.15+(60)))-273.15)))))/0.85/1000)))/((((150)*0.917)*4.31*((Assumptions!$B$11)-(60)))*(0.52*(1-(273.15+19.9590607511086)/(273.15+(((Assumptions!$B$11)-(60))/LN((273.15+(Assumptions!$B$11))/(273.15+(60)))-273.15))))))*0.117459624772546)/8322*1000+13</f>
        <v>198.374651581898</v>
      </c>
      <c r="F9" s="1" t="n">
        <v>180</v>
      </c>
      <c r="G9" s="23" t="n">
        <f aca="false">(((17350000+((2200)*(1120)*10)+(2000000*(((((180)*0.917)*4.31*((Assumptions!$B$11)-(50)))*(0.52*(1-(273.15+19.9590607511086)/(273.15+(((Assumptions!$B$11)-(50))/LN((273.15+(Assumptions!$B$11))/(273.15+(50)))-273.15)))))/0.85/1000)))/((((180)*0.917)*4.31*((Assumptions!$B$11)-(50)))*(0.52*(1-(273.15+19.9590607511086)/(273.15+(((Assumptions!$B$11)-(50))/LN((273.15+(Assumptions!$B$11))/(273.15+(50)))-273.15))))))*0.117459624772546)/8322*1000+13</f>
        <v>163.137792992729</v>
      </c>
      <c r="H9" s="1" t="n">
        <v>1344</v>
      </c>
      <c r="I9" s="23" t="n">
        <f aca="false">(((17350000+((2200)*(1344)*10)+(2000000*(((((150)*0.917)*4.31*((Assumptions!$B$11)-(50)))*(0.52*(1-(273.15+19.9590607511086)/(273.15+(((Assumptions!$B$11)-(50))/LN((273.15+(Assumptions!$B$11))/(273.15+(50)))-273.15)))))/0.85/1000)))/((((150)*0.917)*4.31*((Assumptions!$B$11)-(50)))*(0.52*(1-(273.15+19.9590607511086)/(273.15+(((Assumptions!$B$11)-(50))/LN((273.15+(Assumptions!$B$11))/(273.15+(50)))-273.15))))))*0.117459624772546)/8322*1000+13</f>
        <v>202.990625054653</v>
      </c>
      <c r="J9" s="1" t="n">
        <v>2640</v>
      </c>
      <c r="K9" s="23" t="n">
        <f aca="false">(((17350000+((2640)*(1120)*10)+(2000000*(((((150)*0.917)*4.31*((Assumptions!$B$11)-(50)))*(0.52*(1-(273.15+19.9590607511086)/(273.15+(((Assumptions!$B$11)-(50))/LN((273.15+(Assumptions!$B$11))/(273.15+(50)))-273.15)))))/0.85/1000)))/((((150)*0.917)*4.31*((Assumptions!$B$11)-(50)))*(0.52*(1-(273.15+19.9590607511086)/(273.15+(((Assumptions!$B$11)-(50))/LN((273.15+(Assumptions!$B$11))/(273.15+(50)))-273.15))))))*0.117459624772546)/8322*1000+13</f>
        <v>202.990625054653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2026-07-01T07:20:24Z</dcterms:created>
  <dc:creator>openpyxl</dc:creator>
  <dc:description/>
  <dc:language>en-US</dc:language>
  <cp:lastModifiedBy>Saghafi Far  Iman</cp:lastModifiedBy>
  <dcterms:modified xsi:type="dcterms:W3CDTF">2026-07-01T12:37:04Z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