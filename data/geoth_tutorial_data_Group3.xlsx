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BHE nodes" sheetId="1" state="visible" r:id="rId3"/>
    <sheet name="wellnodecoordinates" sheetId="2" state="visible" r:id="rId4"/>
    <sheet name="welldata" sheetId="3" state="visible" r:id="rId5"/>
    <sheet name="Tinj" sheetId="4" state="visible" r:id="rId6"/>
    <sheet name="conductivities" sheetId="5" state="visible" r:id="rId7"/>
    <sheet name="slic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<sst xmlns="http://schemas.openxmlformats.org/spreadsheetml/2006/main" count="54" uniqueCount="41">
  <si>
    <t xml:space="preserve">Well Location Calculation</t>
  </si>
  <si>
    <t xml:space="preserve">Well Position X</t>
  </si>
  <si>
    <t xml:space="preserve">m</t>
  </si>
  <si>
    <t xml:space="preserve">Well Position Y</t>
  </si>
  <si>
    <t xml:space="preserve">Borehole Radius</t>
  </si>
  <si>
    <t xml:space="preserve">n nodes</t>
  </si>
  <si>
    <t xml:space="preserve">distance factor</t>
  </si>
  <si>
    <t xml:space="preserve">node distance</t>
  </si>
  <si>
    <t xml:space="preserve">Data Table for 6 nodes</t>
  </si>
  <si>
    <t xml:space="preserve">Center X</t>
  </si>
  <si>
    <t xml:space="preserve">Center Y</t>
  </si>
  <si>
    <t xml:space="preserve">ID</t>
  </si>
  <si>
    <t xml:space="preserve">X</t>
  </si>
  <si>
    <t xml:space="preserve">Y</t>
  </si>
  <si>
    <t xml:space="preserve">comment</t>
  </si>
  <si>
    <t xml:space="preserve">END</t>
  </si>
  <si>
    <t xml:space="preserve">&gt; export to pnt</t>
  </si>
  <si>
    <t xml:space="preserve">mesh node ID</t>
  </si>
  <si>
    <t xml:space="preserve">node ID</t>
  </si>
  <si>
    <t xml:space="preserve">Est</t>
  </si>
  <si>
    <t xml:space="preserve">Nord</t>
  </si>
  <si>
    <t xml:space="preserve">Well ID</t>
  </si>
  <si>
    <t xml:space="preserve">depth top</t>
  </si>
  <si>
    <t xml:space="preserve">depth bottom</t>
  </si>
  <si>
    <t xml:space="preserve">radius</t>
  </si>
  <si>
    <t xml:space="preserve">rate</t>
  </si>
  <si>
    <t xml:space="preserve">Tinj</t>
  </si>
  <si>
    <t xml:space="preserve">slice</t>
  </si>
  <si>
    <t xml:space="preserve">k (m2)</t>
  </si>
  <si>
    <t xml:space="preserve">K (m/s) @10°C</t>
  </si>
  <si>
    <t xml:space="preserve">K (m/d) @10°C</t>
  </si>
  <si>
    <t xml:space="preserve">K (m/s) @135°C</t>
  </si>
  <si>
    <t xml:space="preserve">10°C</t>
  </si>
  <si>
    <t xml:space="preserve">135°C</t>
  </si>
  <si>
    <t xml:space="preserve">viscosity</t>
  </si>
  <si>
    <t xml:space="preserve">2,3,4</t>
  </si>
  <si>
    <t xml:space="preserve">density</t>
  </si>
  <si>
    <t xml:space="preserve">5,6</t>
  </si>
  <si>
    <t xml:space="preserve">Slice</t>
  </si>
  <si>
    <t xml:space="preserve">Tinit</t>
  </si>
  <si>
    <t xml:space="preserve">Depth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</si>
</sst>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0000"/>
    <numFmt numFmtId="167" formatCode="General"/>
    <numFmt numFmtId="168" formatCode="0.00E+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8"/>
      <color rgb="FF000000"/>
      <name val="Arial"/>
      <family val="2"/>
    </font>
    <font>
      <b val="true"/>
      <sz val="11"/>
      <color theme="1"/>
      <name val="Calibri"/>
      <family val="2"/>
      <charset val="1"/>
    </font>
    <font>
      <sz val="9"/>
      <color rgb="FF595959"/>
      <name val="Calibri"/>
      <family val="2"/>
    </font>
    <font>
      <sz val="10"/>
      <color rgb="FF59595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4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3237539060499"/>
          <c:y val="0.0717970312664491"/>
          <c:w val="0.793350750473849"/>
          <c:h val="0.817559743130856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0000"/>
            </a:solidFill>
            <a:ln w="28440">
              <a:noFill/>
            </a:ln>
          </c:spPr>
          <c:marker>
            <c:symbol val="diamond"/>
            <c:size val="5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'BHE nodes'!$D$15:$D$21</c:f>
              <c:numCache>
                <c:formatCode>0.00000000</c:formatCode>
                <c:ptCount val="7"/>
                <c:pt idx="0">
                  <c:v>0</c:v>
                </c:pt>
                <c:pt idx="1">
                  <c:v>-0.920056110935434</c:v>
                </c:pt>
                <c:pt idx="2">
                  <c:v>-0.460028055467717</c:v>
                </c:pt>
                <c:pt idx="3">
                  <c:v>0.460028055467717</c:v>
                </c:pt>
                <c:pt idx="4">
                  <c:v>0.920056110935434</c:v>
                </c:pt>
                <c:pt idx="5">
                  <c:v>0.460028055467717</c:v>
                </c:pt>
                <c:pt idx="6">
                  <c:v>-0.460028055467717</c:v>
                </c:pt>
              </c:numCache>
            </c:numRef>
          </c:xVal>
          <c:yVal>
            <c:numRef>
              <c:f>'BHE nodes'!$E$15:$E$21</c:f>
              <c:numCache>
                <c:formatCode>0.00000000</c:formatCode>
                <c:ptCount val="7"/>
                <c:pt idx="0">
                  <c:v>0</c:v>
                </c:pt>
                <c:pt idx="1">
                  <c:v>5.63371885646521E-017</c:v>
                </c:pt>
                <c:pt idx="2">
                  <c:v>0.7967919649772</c:v>
                </c:pt>
                <c:pt idx="3">
                  <c:v>0.7967919649772</c:v>
                </c:pt>
                <c:pt idx="4">
                  <c:v>5.63371885646521E-017</c:v>
                </c:pt>
                <c:pt idx="5">
                  <c:v>-0.7967919649772</c:v>
                </c:pt>
                <c:pt idx="6">
                  <c:v>-0.7967919649772</c:v>
                </c:pt>
              </c:numCache>
            </c:numRef>
          </c:yVal>
          <c:smooth val="0"/>
        </c:ser>
        <c:axId val="62281783"/>
        <c:axId val="30774287"/>
      </c:scatterChart>
      <c:valAx>
        <c:axId val="62281783"/>
        <c:scaling>
          <c:orientation val="minMax"/>
        </c:scaling>
        <c:delete val="0"/>
        <c:axPos val="b"/>
        <c:majorGridlines>
          <c:spPr>
            <a:ln w="3240">
              <a:solidFill>
                <a:srgbClr val="c0c0c0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0774287"/>
        <c:crosses val="autoZero"/>
        <c:crossBetween val="midCat"/>
      </c:valAx>
      <c:valAx>
        <c:axId val="30774287"/>
        <c:scaling>
          <c:orientation val="minMax"/>
        </c:scaling>
        <c:delete val="0"/>
        <c:axPos val="l"/>
        <c:majorGridlines>
          <c:spPr>
            <a:ln w="3240">
              <a:solidFill>
                <a:srgbClr val="c0c0c0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228178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sliceT!$C$1</c:f>
              <c:strCache>
                <c:ptCount val="1"/>
                <c:pt idx="0">
                  <c:v>Depth</c:v>
                </c:pt>
              </c:strCache>
            </c:strRef>
          </c:tx>
          <c:spPr>
            <a:solidFill>
              <a:srgbClr val="ff0000"/>
            </a:solidFill>
            <a:ln cap="rnd" w="19080">
              <a:solidFill>
                <a:srgbClr val="ff0000"/>
              </a:solidFill>
              <a:round/>
            </a:ln>
          </c:spPr>
          <c:marker>
            <c:symbol val="circle"/>
            <c:size val="8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sliceT!$B$2:$B$7</c:f>
              <c:numCache>
                <c:formatCode>General</c:formatCode>
                <c:ptCount val="6"/>
                <c:pt idx="0">
                  <c:v>15</c:v>
                </c:pt>
                <c:pt idx="1">
                  <c:v>134.13</c:v>
                </c:pt>
                <c:pt idx="2">
                  <c:v>144.61</c:v>
                </c:pt>
                <c:pt idx="3">
                  <c:v>155.09</c:v>
                </c:pt>
                <c:pt idx="4">
                  <c:v>160.33</c:v>
                </c:pt>
                <c:pt idx="5">
                  <c:v>258.31</c:v>
                </c:pt>
              </c:numCache>
            </c:numRef>
          </c:xVal>
          <c:yVal>
            <c:numRef>
              <c:f>sliceT!$C$2:$C$7</c:f>
              <c:numCache>
                <c:formatCode>General</c:formatCode>
                <c:ptCount val="6"/>
                <c:pt idx="0">
                  <c:v>0</c:v>
                </c:pt>
                <c:pt idx="1">
                  <c:v>870</c:v>
                </c:pt>
                <c:pt idx="2">
                  <c:v>970</c:v>
                </c:pt>
                <c:pt idx="3">
                  <c:v>1070</c:v>
                </c:pt>
                <c:pt idx="4">
                  <c:v>1120</c:v>
                </c:pt>
                <c:pt idx="5">
                  <c:v>3100</c:v>
                </c:pt>
              </c:numCache>
            </c:numRef>
          </c:yVal>
          <c:smooth val="0"/>
        </c:ser>
        <c:axId val="26047756"/>
        <c:axId val="82276167"/>
      </c:scatterChart>
      <c:valAx>
        <c:axId val="2604775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it-IT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it-IT" sz="1000" spc="-1" strike="noStrike">
                    <a:solidFill>
                      <a:srgbClr val="595959"/>
                    </a:solidFill>
                    <a:latin typeface="Calibri"/>
                  </a:rPr>
                  <a:t>Temperature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276167"/>
        <c:crosses val="autoZero"/>
        <c:crossBetween val="midCat"/>
      </c:valAx>
      <c:valAx>
        <c:axId val="82276167"/>
        <c:scaling>
          <c:orientation val="maxMin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it-IT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it-IT" sz="1000" spc="-1" strike="noStrike">
                    <a:solidFill>
                      <a:srgbClr val="595959"/>
                    </a:solidFill>
                    <a:latin typeface="Calibri"/>
                  </a:rPr>
                  <a:t>Depth (m from g.s.)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04775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571680</xdr:colOff>
      <xdr:row>21</xdr:row>
      <xdr:rowOff>0</xdr:rowOff>
    </xdr:from>
    <xdr:to>
      <xdr:col>15</xdr:col>
      <xdr:colOff>352080</xdr:colOff>
      <xdr:row>38</xdr:row>
      <xdr:rowOff>180720</xdr:rowOff>
    </xdr:to>
    <xdr:graphicFrame>
      <xdr:nvGraphicFramePr>
        <xdr:cNvPr id="0" name="Chart 1"/>
        <xdr:cNvGraphicFramePr/>
      </xdr:nvGraphicFramePr>
      <xdr:xfrm>
        <a:off x="8273520" y="4076640"/>
        <a:ext cx="7027200" cy="34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180720</xdr:colOff>
      <xdr:row>11</xdr:row>
      <xdr:rowOff>57240</xdr:rowOff>
    </xdr:from>
    <xdr:to>
      <xdr:col>9</xdr:col>
      <xdr:colOff>475560</xdr:colOff>
      <xdr:row>21</xdr:row>
      <xdr:rowOff>190080</xdr:rowOff>
    </xdr:to>
    <xdr:pic>
      <xdr:nvPicPr>
        <xdr:cNvPr id="1" name="Picture 1" descr=""/>
        <xdr:cNvPicPr/>
      </xdr:nvPicPr>
      <xdr:blipFill>
        <a:blip r:embed="rId2"/>
        <a:stretch/>
      </xdr:blipFill>
      <xdr:spPr>
        <a:xfrm rot="1803600">
          <a:off x="8687880" y="2228760"/>
          <a:ext cx="1905120" cy="2037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14400</xdr:rowOff>
    </xdr:from>
    <xdr:to>
      <xdr:col>11</xdr:col>
      <xdr:colOff>304560</xdr:colOff>
      <xdr:row>16</xdr:row>
      <xdr:rowOff>90360</xdr:rowOff>
    </xdr:to>
    <xdr:graphicFrame>
      <xdr:nvGraphicFramePr>
        <xdr:cNvPr id="2" name="Chart 1"/>
        <xdr:cNvGraphicFramePr/>
      </xdr:nvGraphicFramePr>
      <xdr:xfrm>
        <a:off x="2446200" y="395280"/>
        <a:ext cx="4584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8"/>
    <col collapsed="false" customWidth="false" hidden="false" outlineLevel="0" max="3" min="2" style="1" width="11.43"/>
    <col collapsed="false" customWidth="true" hidden="false" outlineLevel="0" max="4" min="4" style="1" width="24.42"/>
    <col collapsed="false" customWidth="true" hidden="false" outlineLevel="0" max="5" min="5" style="1" width="25.14"/>
    <col collapsed="false" customWidth="true" hidden="false" outlineLevel="0" max="6" min="6" style="1" width="18.86"/>
    <col collapsed="false" customWidth="false" hidden="false" outlineLevel="0" max="256" min="7" style="1" width="11.43"/>
    <col collapsed="false" customWidth="true" hidden="false" outlineLevel="0" max="257" min="257" style="1" width="18"/>
    <col collapsed="false" customWidth="false" hidden="false" outlineLevel="0" max="259" min="258" style="1" width="11.43"/>
    <col collapsed="false" customWidth="true" hidden="false" outlineLevel="0" max="260" min="260" style="1" width="24.42"/>
    <col collapsed="false" customWidth="true" hidden="false" outlineLevel="0" max="261" min="261" style="1" width="25.14"/>
    <col collapsed="false" customWidth="true" hidden="false" outlineLevel="0" max="262" min="262" style="1" width="18.86"/>
    <col collapsed="false" customWidth="false" hidden="false" outlineLevel="0" max="512" min="263" style="1" width="11.43"/>
    <col collapsed="false" customWidth="true" hidden="false" outlineLevel="0" max="513" min="513" style="1" width="18"/>
    <col collapsed="false" customWidth="false" hidden="false" outlineLevel="0" max="515" min="514" style="1" width="11.43"/>
    <col collapsed="false" customWidth="true" hidden="false" outlineLevel="0" max="516" min="516" style="1" width="24.42"/>
    <col collapsed="false" customWidth="true" hidden="false" outlineLevel="0" max="517" min="517" style="1" width="25.14"/>
    <col collapsed="false" customWidth="true" hidden="false" outlineLevel="0" max="518" min="518" style="1" width="18.86"/>
    <col collapsed="false" customWidth="false" hidden="false" outlineLevel="0" max="768" min="519" style="1" width="11.43"/>
    <col collapsed="false" customWidth="true" hidden="false" outlineLevel="0" max="769" min="769" style="1" width="18"/>
    <col collapsed="false" customWidth="false" hidden="false" outlineLevel="0" max="771" min="770" style="1" width="11.43"/>
    <col collapsed="false" customWidth="true" hidden="false" outlineLevel="0" max="772" min="772" style="1" width="24.42"/>
    <col collapsed="false" customWidth="true" hidden="false" outlineLevel="0" max="773" min="773" style="1" width="25.14"/>
    <col collapsed="false" customWidth="true" hidden="false" outlineLevel="0" max="774" min="774" style="1" width="18.86"/>
    <col collapsed="false" customWidth="false" hidden="false" outlineLevel="0" max="1024" min="775" style="1" width="11.43"/>
    <col collapsed="false" customWidth="true" hidden="false" outlineLevel="0" max="1025" min="1025" style="1" width="18"/>
    <col collapsed="false" customWidth="false" hidden="false" outlineLevel="0" max="1027" min="1026" style="1" width="11.43"/>
    <col collapsed="false" customWidth="true" hidden="false" outlineLevel="0" max="1028" min="1028" style="1" width="24.42"/>
    <col collapsed="false" customWidth="true" hidden="false" outlineLevel="0" max="1029" min="1029" style="1" width="25.14"/>
    <col collapsed="false" customWidth="true" hidden="false" outlineLevel="0" max="1030" min="1030" style="1" width="18.86"/>
    <col collapsed="false" customWidth="false" hidden="false" outlineLevel="0" max="1280" min="1031" style="1" width="11.43"/>
    <col collapsed="false" customWidth="true" hidden="false" outlineLevel="0" max="1281" min="1281" style="1" width="18"/>
    <col collapsed="false" customWidth="false" hidden="false" outlineLevel="0" max="1283" min="1282" style="1" width="11.43"/>
    <col collapsed="false" customWidth="true" hidden="false" outlineLevel="0" max="1284" min="1284" style="1" width="24.42"/>
    <col collapsed="false" customWidth="true" hidden="false" outlineLevel="0" max="1285" min="1285" style="1" width="25.14"/>
    <col collapsed="false" customWidth="true" hidden="false" outlineLevel="0" max="1286" min="1286" style="1" width="18.86"/>
    <col collapsed="false" customWidth="false" hidden="false" outlineLevel="0" max="1536" min="1287" style="1" width="11.43"/>
    <col collapsed="false" customWidth="true" hidden="false" outlineLevel="0" max="1537" min="1537" style="1" width="18"/>
    <col collapsed="false" customWidth="false" hidden="false" outlineLevel="0" max="1539" min="1538" style="1" width="11.43"/>
    <col collapsed="false" customWidth="true" hidden="false" outlineLevel="0" max="1540" min="1540" style="1" width="24.42"/>
    <col collapsed="false" customWidth="true" hidden="false" outlineLevel="0" max="1541" min="1541" style="1" width="25.14"/>
    <col collapsed="false" customWidth="true" hidden="false" outlineLevel="0" max="1542" min="1542" style="1" width="18.86"/>
    <col collapsed="false" customWidth="false" hidden="false" outlineLevel="0" max="1792" min="1543" style="1" width="11.43"/>
    <col collapsed="false" customWidth="true" hidden="false" outlineLevel="0" max="1793" min="1793" style="1" width="18"/>
    <col collapsed="false" customWidth="false" hidden="false" outlineLevel="0" max="1795" min="1794" style="1" width="11.43"/>
    <col collapsed="false" customWidth="true" hidden="false" outlineLevel="0" max="1796" min="1796" style="1" width="24.42"/>
    <col collapsed="false" customWidth="true" hidden="false" outlineLevel="0" max="1797" min="1797" style="1" width="25.14"/>
    <col collapsed="false" customWidth="true" hidden="false" outlineLevel="0" max="1798" min="1798" style="1" width="18.86"/>
    <col collapsed="false" customWidth="false" hidden="false" outlineLevel="0" max="2048" min="1799" style="1" width="11.43"/>
    <col collapsed="false" customWidth="true" hidden="false" outlineLevel="0" max="2049" min="2049" style="1" width="18"/>
    <col collapsed="false" customWidth="false" hidden="false" outlineLevel="0" max="2051" min="2050" style="1" width="11.43"/>
    <col collapsed="false" customWidth="true" hidden="false" outlineLevel="0" max="2052" min="2052" style="1" width="24.42"/>
    <col collapsed="false" customWidth="true" hidden="false" outlineLevel="0" max="2053" min="2053" style="1" width="25.14"/>
    <col collapsed="false" customWidth="true" hidden="false" outlineLevel="0" max="2054" min="2054" style="1" width="18.86"/>
    <col collapsed="false" customWidth="false" hidden="false" outlineLevel="0" max="2304" min="2055" style="1" width="11.43"/>
    <col collapsed="false" customWidth="true" hidden="false" outlineLevel="0" max="2305" min="2305" style="1" width="18"/>
    <col collapsed="false" customWidth="false" hidden="false" outlineLevel="0" max="2307" min="2306" style="1" width="11.43"/>
    <col collapsed="false" customWidth="true" hidden="false" outlineLevel="0" max="2308" min="2308" style="1" width="24.42"/>
    <col collapsed="false" customWidth="true" hidden="false" outlineLevel="0" max="2309" min="2309" style="1" width="25.14"/>
    <col collapsed="false" customWidth="true" hidden="false" outlineLevel="0" max="2310" min="2310" style="1" width="18.86"/>
    <col collapsed="false" customWidth="false" hidden="false" outlineLevel="0" max="2560" min="2311" style="1" width="11.43"/>
    <col collapsed="false" customWidth="true" hidden="false" outlineLevel="0" max="2561" min="2561" style="1" width="18"/>
    <col collapsed="false" customWidth="false" hidden="false" outlineLevel="0" max="2563" min="2562" style="1" width="11.43"/>
    <col collapsed="false" customWidth="true" hidden="false" outlineLevel="0" max="2564" min="2564" style="1" width="24.42"/>
    <col collapsed="false" customWidth="true" hidden="false" outlineLevel="0" max="2565" min="2565" style="1" width="25.14"/>
    <col collapsed="false" customWidth="true" hidden="false" outlineLevel="0" max="2566" min="2566" style="1" width="18.86"/>
    <col collapsed="false" customWidth="false" hidden="false" outlineLevel="0" max="2816" min="2567" style="1" width="11.43"/>
    <col collapsed="false" customWidth="true" hidden="false" outlineLevel="0" max="2817" min="2817" style="1" width="18"/>
    <col collapsed="false" customWidth="false" hidden="false" outlineLevel="0" max="2819" min="2818" style="1" width="11.43"/>
    <col collapsed="false" customWidth="true" hidden="false" outlineLevel="0" max="2820" min="2820" style="1" width="24.42"/>
    <col collapsed="false" customWidth="true" hidden="false" outlineLevel="0" max="2821" min="2821" style="1" width="25.14"/>
    <col collapsed="false" customWidth="true" hidden="false" outlineLevel="0" max="2822" min="2822" style="1" width="18.86"/>
    <col collapsed="false" customWidth="false" hidden="false" outlineLevel="0" max="3072" min="2823" style="1" width="11.43"/>
    <col collapsed="false" customWidth="true" hidden="false" outlineLevel="0" max="3073" min="3073" style="1" width="18"/>
    <col collapsed="false" customWidth="false" hidden="false" outlineLevel="0" max="3075" min="3074" style="1" width="11.43"/>
    <col collapsed="false" customWidth="true" hidden="false" outlineLevel="0" max="3076" min="3076" style="1" width="24.42"/>
    <col collapsed="false" customWidth="true" hidden="false" outlineLevel="0" max="3077" min="3077" style="1" width="25.14"/>
    <col collapsed="false" customWidth="true" hidden="false" outlineLevel="0" max="3078" min="3078" style="1" width="18.86"/>
    <col collapsed="false" customWidth="false" hidden="false" outlineLevel="0" max="3328" min="3079" style="1" width="11.43"/>
    <col collapsed="false" customWidth="true" hidden="false" outlineLevel="0" max="3329" min="3329" style="1" width="18"/>
    <col collapsed="false" customWidth="false" hidden="false" outlineLevel="0" max="3331" min="3330" style="1" width="11.43"/>
    <col collapsed="false" customWidth="true" hidden="false" outlineLevel="0" max="3332" min="3332" style="1" width="24.42"/>
    <col collapsed="false" customWidth="true" hidden="false" outlineLevel="0" max="3333" min="3333" style="1" width="25.14"/>
    <col collapsed="false" customWidth="true" hidden="false" outlineLevel="0" max="3334" min="3334" style="1" width="18.86"/>
    <col collapsed="false" customWidth="false" hidden="false" outlineLevel="0" max="3584" min="3335" style="1" width="11.43"/>
    <col collapsed="false" customWidth="true" hidden="false" outlineLevel="0" max="3585" min="3585" style="1" width="18"/>
    <col collapsed="false" customWidth="false" hidden="false" outlineLevel="0" max="3587" min="3586" style="1" width="11.43"/>
    <col collapsed="false" customWidth="true" hidden="false" outlineLevel="0" max="3588" min="3588" style="1" width="24.42"/>
    <col collapsed="false" customWidth="true" hidden="false" outlineLevel="0" max="3589" min="3589" style="1" width="25.14"/>
    <col collapsed="false" customWidth="true" hidden="false" outlineLevel="0" max="3590" min="3590" style="1" width="18.86"/>
    <col collapsed="false" customWidth="false" hidden="false" outlineLevel="0" max="3840" min="3591" style="1" width="11.43"/>
    <col collapsed="false" customWidth="true" hidden="false" outlineLevel="0" max="3841" min="3841" style="1" width="18"/>
    <col collapsed="false" customWidth="false" hidden="false" outlineLevel="0" max="3843" min="3842" style="1" width="11.43"/>
    <col collapsed="false" customWidth="true" hidden="false" outlineLevel="0" max="3844" min="3844" style="1" width="24.42"/>
    <col collapsed="false" customWidth="true" hidden="false" outlineLevel="0" max="3845" min="3845" style="1" width="25.14"/>
    <col collapsed="false" customWidth="true" hidden="false" outlineLevel="0" max="3846" min="3846" style="1" width="18.86"/>
    <col collapsed="false" customWidth="false" hidden="false" outlineLevel="0" max="4096" min="3847" style="1" width="11.43"/>
    <col collapsed="false" customWidth="true" hidden="false" outlineLevel="0" max="4097" min="4097" style="1" width="18"/>
    <col collapsed="false" customWidth="false" hidden="false" outlineLevel="0" max="4099" min="4098" style="1" width="11.43"/>
    <col collapsed="false" customWidth="true" hidden="false" outlineLevel="0" max="4100" min="4100" style="1" width="24.42"/>
    <col collapsed="false" customWidth="true" hidden="false" outlineLevel="0" max="4101" min="4101" style="1" width="25.14"/>
    <col collapsed="false" customWidth="true" hidden="false" outlineLevel="0" max="4102" min="4102" style="1" width="18.86"/>
    <col collapsed="false" customWidth="false" hidden="false" outlineLevel="0" max="4352" min="4103" style="1" width="11.43"/>
    <col collapsed="false" customWidth="true" hidden="false" outlineLevel="0" max="4353" min="4353" style="1" width="18"/>
    <col collapsed="false" customWidth="false" hidden="false" outlineLevel="0" max="4355" min="4354" style="1" width="11.43"/>
    <col collapsed="false" customWidth="true" hidden="false" outlineLevel="0" max="4356" min="4356" style="1" width="24.42"/>
    <col collapsed="false" customWidth="true" hidden="false" outlineLevel="0" max="4357" min="4357" style="1" width="25.14"/>
    <col collapsed="false" customWidth="true" hidden="false" outlineLevel="0" max="4358" min="4358" style="1" width="18.86"/>
    <col collapsed="false" customWidth="false" hidden="false" outlineLevel="0" max="4608" min="4359" style="1" width="11.43"/>
    <col collapsed="false" customWidth="true" hidden="false" outlineLevel="0" max="4609" min="4609" style="1" width="18"/>
    <col collapsed="false" customWidth="false" hidden="false" outlineLevel="0" max="4611" min="4610" style="1" width="11.43"/>
    <col collapsed="false" customWidth="true" hidden="false" outlineLevel="0" max="4612" min="4612" style="1" width="24.42"/>
    <col collapsed="false" customWidth="true" hidden="false" outlineLevel="0" max="4613" min="4613" style="1" width="25.14"/>
    <col collapsed="false" customWidth="true" hidden="false" outlineLevel="0" max="4614" min="4614" style="1" width="18.86"/>
    <col collapsed="false" customWidth="false" hidden="false" outlineLevel="0" max="4864" min="4615" style="1" width="11.43"/>
    <col collapsed="false" customWidth="true" hidden="false" outlineLevel="0" max="4865" min="4865" style="1" width="18"/>
    <col collapsed="false" customWidth="false" hidden="false" outlineLevel="0" max="4867" min="4866" style="1" width="11.43"/>
    <col collapsed="false" customWidth="true" hidden="false" outlineLevel="0" max="4868" min="4868" style="1" width="24.42"/>
    <col collapsed="false" customWidth="true" hidden="false" outlineLevel="0" max="4869" min="4869" style="1" width="25.14"/>
    <col collapsed="false" customWidth="true" hidden="false" outlineLevel="0" max="4870" min="4870" style="1" width="18.86"/>
    <col collapsed="false" customWidth="false" hidden="false" outlineLevel="0" max="5120" min="4871" style="1" width="11.43"/>
    <col collapsed="false" customWidth="true" hidden="false" outlineLevel="0" max="5121" min="5121" style="1" width="18"/>
    <col collapsed="false" customWidth="false" hidden="false" outlineLevel="0" max="5123" min="5122" style="1" width="11.43"/>
    <col collapsed="false" customWidth="true" hidden="false" outlineLevel="0" max="5124" min="5124" style="1" width="24.42"/>
    <col collapsed="false" customWidth="true" hidden="false" outlineLevel="0" max="5125" min="5125" style="1" width="25.14"/>
    <col collapsed="false" customWidth="true" hidden="false" outlineLevel="0" max="5126" min="5126" style="1" width="18.86"/>
    <col collapsed="false" customWidth="false" hidden="false" outlineLevel="0" max="5376" min="5127" style="1" width="11.43"/>
    <col collapsed="false" customWidth="true" hidden="false" outlineLevel="0" max="5377" min="5377" style="1" width="18"/>
    <col collapsed="false" customWidth="false" hidden="false" outlineLevel="0" max="5379" min="5378" style="1" width="11.43"/>
    <col collapsed="false" customWidth="true" hidden="false" outlineLevel="0" max="5380" min="5380" style="1" width="24.42"/>
    <col collapsed="false" customWidth="true" hidden="false" outlineLevel="0" max="5381" min="5381" style="1" width="25.14"/>
    <col collapsed="false" customWidth="true" hidden="false" outlineLevel="0" max="5382" min="5382" style="1" width="18.86"/>
    <col collapsed="false" customWidth="false" hidden="false" outlineLevel="0" max="5632" min="5383" style="1" width="11.43"/>
    <col collapsed="false" customWidth="true" hidden="false" outlineLevel="0" max="5633" min="5633" style="1" width="18"/>
    <col collapsed="false" customWidth="false" hidden="false" outlineLevel="0" max="5635" min="5634" style="1" width="11.43"/>
    <col collapsed="false" customWidth="true" hidden="false" outlineLevel="0" max="5636" min="5636" style="1" width="24.42"/>
    <col collapsed="false" customWidth="true" hidden="false" outlineLevel="0" max="5637" min="5637" style="1" width="25.14"/>
    <col collapsed="false" customWidth="true" hidden="false" outlineLevel="0" max="5638" min="5638" style="1" width="18.86"/>
    <col collapsed="false" customWidth="false" hidden="false" outlineLevel="0" max="5888" min="5639" style="1" width="11.43"/>
    <col collapsed="false" customWidth="true" hidden="false" outlineLevel="0" max="5889" min="5889" style="1" width="18"/>
    <col collapsed="false" customWidth="false" hidden="false" outlineLevel="0" max="5891" min="5890" style="1" width="11.43"/>
    <col collapsed="false" customWidth="true" hidden="false" outlineLevel="0" max="5892" min="5892" style="1" width="24.42"/>
    <col collapsed="false" customWidth="true" hidden="false" outlineLevel="0" max="5893" min="5893" style="1" width="25.14"/>
    <col collapsed="false" customWidth="true" hidden="false" outlineLevel="0" max="5894" min="5894" style="1" width="18.86"/>
    <col collapsed="false" customWidth="false" hidden="false" outlineLevel="0" max="6144" min="5895" style="1" width="11.43"/>
    <col collapsed="false" customWidth="true" hidden="false" outlineLevel="0" max="6145" min="6145" style="1" width="18"/>
    <col collapsed="false" customWidth="false" hidden="false" outlineLevel="0" max="6147" min="6146" style="1" width="11.43"/>
    <col collapsed="false" customWidth="true" hidden="false" outlineLevel="0" max="6148" min="6148" style="1" width="24.42"/>
    <col collapsed="false" customWidth="true" hidden="false" outlineLevel="0" max="6149" min="6149" style="1" width="25.14"/>
    <col collapsed="false" customWidth="true" hidden="false" outlineLevel="0" max="6150" min="6150" style="1" width="18.86"/>
    <col collapsed="false" customWidth="false" hidden="false" outlineLevel="0" max="6400" min="6151" style="1" width="11.43"/>
    <col collapsed="false" customWidth="true" hidden="false" outlineLevel="0" max="6401" min="6401" style="1" width="18"/>
    <col collapsed="false" customWidth="false" hidden="false" outlineLevel="0" max="6403" min="6402" style="1" width="11.43"/>
    <col collapsed="false" customWidth="true" hidden="false" outlineLevel="0" max="6404" min="6404" style="1" width="24.42"/>
    <col collapsed="false" customWidth="true" hidden="false" outlineLevel="0" max="6405" min="6405" style="1" width="25.14"/>
    <col collapsed="false" customWidth="true" hidden="false" outlineLevel="0" max="6406" min="6406" style="1" width="18.86"/>
    <col collapsed="false" customWidth="false" hidden="false" outlineLevel="0" max="6656" min="6407" style="1" width="11.43"/>
    <col collapsed="false" customWidth="true" hidden="false" outlineLevel="0" max="6657" min="6657" style="1" width="18"/>
    <col collapsed="false" customWidth="false" hidden="false" outlineLevel="0" max="6659" min="6658" style="1" width="11.43"/>
    <col collapsed="false" customWidth="true" hidden="false" outlineLevel="0" max="6660" min="6660" style="1" width="24.42"/>
    <col collapsed="false" customWidth="true" hidden="false" outlineLevel="0" max="6661" min="6661" style="1" width="25.14"/>
    <col collapsed="false" customWidth="true" hidden="false" outlineLevel="0" max="6662" min="6662" style="1" width="18.86"/>
    <col collapsed="false" customWidth="false" hidden="false" outlineLevel="0" max="6912" min="6663" style="1" width="11.43"/>
    <col collapsed="false" customWidth="true" hidden="false" outlineLevel="0" max="6913" min="6913" style="1" width="18"/>
    <col collapsed="false" customWidth="false" hidden="false" outlineLevel="0" max="6915" min="6914" style="1" width="11.43"/>
    <col collapsed="false" customWidth="true" hidden="false" outlineLevel="0" max="6916" min="6916" style="1" width="24.42"/>
    <col collapsed="false" customWidth="true" hidden="false" outlineLevel="0" max="6917" min="6917" style="1" width="25.14"/>
    <col collapsed="false" customWidth="true" hidden="false" outlineLevel="0" max="6918" min="6918" style="1" width="18.86"/>
    <col collapsed="false" customWidth="false" hidden="false" outlineLevel="0" max="7168" min="6919" style="1" width="11.43"/>
    <col collapsed="false" customWidth="true" hidden="false" outlineLevel="0" max="7169" min="7169" style="1" width="18"/>
    <col collapsed="false" customWidth="false" hidden="false" outlineLevel="0" max="7171" min="7170" style="1" width="11.43"/>
    <col collapsed="false" customWidth="true" hidden="false" outlineLevel="0" max="7172" min="7172" style="1" width="24.42"/>
    <col collapsed="false" customWidth="true" hidden="false" outlineLevel="0" max="7173" min="7173" style="1" width="25.14"/>
    <col collapsed="false" customWidth="true" hidden="false" outlineLevel="0" max="7174" min="7174" style="1" width="18.86"/>
    <col collapsed="false" customWidth="false" hidden="false" outlineLevel="0" max="7424" min="7175" style="1" width="11.43"/>
    <col collapsed="false" customWidth="true" hidden="false" outlineLevel="0" max="7425" min="7425" style="1" width="18"/>
    <col collapsed="false" customWidth="false" hidden="false" outlineLevel="0" max="7427" min="7426" style="1" width="11.43"/>
    <col collapsed="false" customWidth="true" hidden="false" outlineLevel="0" max="7428" min="7428" style="1" width="24.42"/>
    <col collapsed="false" customWidth="true" hidden="false" outlineLevel="0" max="7429" min="7429" style="1" width="25.14"/>
    <col collapsed="false" customWidth="true" hidden="false" outlineLevel="0" max="7430" min="7430" style="1" width="18.86"/>
    <col collapsed="false" customWidth="false" hidden="false" outlineLevel="0" max="7680" min="7431" style="1" width="11.43"/>
    <col collapsed="false" customWidth="true" hidden="false" outlineLevel="0" max="7681" min="7681" style="1" width="18"/>
    <col collapsed="false" customWidth="false" hidden="false" outlineLevel="0" max="7683" min="7682" style="1" width="11.43"/>
    <col collapsed="false" customWidth="true" hidden="false" outlineLevel="0" max="7684" min="7684" style="1" width="24.42"/>
    <col collapsed="false" customWidth="true" hidden="false" outlineLevel="0" max="7685" min="7685" style="1" width="25.14"/>
    <col collapsed="false" customWidth="true" hidden="false" outlineLevel="0" max="7686" min="7686" style="1" width="18.86"/>
    <col collapsed="false" customWidth="false" hidden="false" outlineLevel="0" max="7936" min="7687" style="1" width="11.43"/>
    <col collapsed="false" customWidth="true" hidden="false" outlineLevel="0" max="7937" min="7937" style="1" width="18"/>
    <col collapsed="false" customWidth="false" hidden="false" outlineLevel="0" max="7939" min="7938" style="1" width="11.43"/>
    <col collapsed="false" customWidth="true" hidden="false" outlineLevel="0" max="7940" min="7940" style="1" width="24.42"/>
    <col collapsed="false" customWidth="true" hidden="false" outlineLevel="0" max="7941" min="7941" style="1" width="25.14"/>
    <col collapsed="false" customWidth="true" hidden="false" outlineLevel="0" max="7942" min="7942" style="1" width="18.86"/>
    <col collapsed="false" customWidth="false" hidden="false" outlineLevel="0" max="8192" min="7943" style="1" width="11.43"/>
    <col collapsed="false" customWidth="true" hidden="false" outlineLevel="0" max="8193" min="8193" style="1" width="18"/>
    <col collapsed="false" customWidth="false" hidden="false" outlineLevel="0" max="8195" min="8194" style="1" width="11.43"/>
    <col collapsed="false" customWidth="true" hidden="false" outlineLevel="0" max="8196" min="8196" style="1" width="24.42"/>
    <col collapsed="false" customWidth="true" hidden="false" outlineLevel="0" max="8197" min="8197" style="1" width="25.14"/>
    <col collapsed="false" customWidth="true" hidden="false" outlineLevel="0" max="8198" min="8198" style="1" width="18.86"/>
    <col collapsed="false" customWidth="false" hidden="false" outlineLevel="0" max="8448" min="8199" style="1" width="11.43"/>
    <col collapsed="false" customWidth="true" hidden="false" outlineLevel="0" max="8449" min="8449" style="1" width="18"/>
    <col collapsed="false" customWidth="false" hidden="false" outlineLevel="0" max="8451" min="8450" style="1" width="11.43"/>
    <col collapsed="false" customWidth="true" hidden="false" outlineLevel="0" max="8452" min="8452" style="1" width="24.42"/>
    <col collapsed="false" customWidth="true" hidden="false" outlineLevel="0" max="8453" min="8453" style="1" width="25.14"/>
    <col collapsed="false" customWidth="true" hidden="false" outlineLevel="0" max="8454" min="8454" style="1" width="18.86"/>
    <col collapsed="false" customWidth="false" hidden="false" outlineLevel="0" max="8704" min="8455" style="1" width="11.43"/>
    <col collapsed="false" customWidth="true" hidden="false" outlineLevel="0" max="8705" min="8705" style="1" width="18"/>
    <col collapsed="false" customWidth="false" hidden="false" outlineLevel="0" max="8707" min="8706" style="1" width="11.43"/>
    <col collapsed="false" customWidth="true" hidden="false" outlineLevel="0" max="8708" min="8708" style="1" width="24.42"/>
    <col collapsed="false" customWidth="true" hidden="false" outlineLevel="0" max="8709" min="8709" style="1" width="25.14"/>
    <col collapsed="false" customWidth="true" hidden="false" outlineLevel="0" max="8710" min="8710" style="1" width="18.86"/>
    <col collapsed="false" customWidth="false" hidden="false" outlineLevel="0" max="8960" min="8711" style="1" width="11.43"/>
    <col collapsed="false" customWidth="true" hidden="false" outlineLevel="0" max="8961" min="8961" style="1" width="18"/>
    <col collapsed="false" customWidth="false" hidden="false" outlineLevel="0" max="8963" min="8962" style="1" width="11.43"/>
    <col collapsed="false" customWidth="true" hidden="false" outlineLevel="0" max="8964" min="8964" style="1" width="24.42"/>
    <col collapsed="false" customWidth="true" hidden="false" outlineLevel="0" max="8965" min="8965" style="1" width="25.14"/>
    <col collapsed="false" customWidth="true" hidden="false" outlineLevel="0" max="8966" min="8966" style="1" width="18.86"/>
    <col collapsed="false" customWidth="false" hidden="false" outlineLevel="0" max="9216" min="8967" style="1" width="11.43"/>
    <col collapsed="false" customWidth="true" hidden="false" outlineLevel="0" max="9217" min="9217" style="1" width="18"/>
    <col collapsed="false" customWidth="false" hidden="false" outlineLevel="0" max="9219" min="9218" style="1" width="11.43"/>
    <col collapsed="false" customWidth="true" hidden="false" outlineLevel="0" max="9220" min="9220" style="1" width="24.42"/>
    <col collapsed="false" customWidth="true" hidden="false" outlineLevel="0" max="9221" min="9221" style="1" width="25.14"/>
    <col collapsed="false" customWidth="true" hidden="false" outlineLevel="0" max="9222" min="9222" style="1" width="18.86"/>
    <col collapsed="false" customWidth="false" hidden="false" outlineLevel="0" max="9472" min="9223" style="1" width="11.43"/>
    <col collapsed="false" customWidth="true" hidden="false" outlineLevel="0" max="9473" min="9473" style="1" width="18"/>
    <col collapsed="false" customWidth="false" hidden="false" outlineLevel="0" max="9475" min="9474" style="1" width="11.43"/>
    <col collapsed="false" customWidth="true" hidden="false" outlineLevel="0" max="9476" min="9476" style="1" width="24.42"/>
    <col collapsed="false" customWidth="true" hidden="false" outlineLevel="0" max="9477" min="9477" style="1" width="25.14"/>
    <col collapsed="false" customWidth="true" hidden="false" outlineLevel="0" max="9478" min="9478" style="1" width="18.86"/>
    <col collapsed="false" customWidth="false" hidden="false" outlineLevel="0" max="9728" min="9479" style="1" width="11.43"/>
    <col collapsed="false" customWidth="true" hidden="false" outlineLevel="0" max="9729" min="9729" style="1" width="18"/>
    <col collapsed="false" customWidth="false" hidden="false" outlineLevel="0" max="9731" min="9730" style="1" width="11.43"/>
    <col collapsed="false" customWidth="true" hidden="false" outlineLevel="0" max="9732" min="9732" style="1" width="24.42"/>
    <col collapsed="false" customWidth="true" hidden="false" outlineLevel="0" max="9733" min="9733" style="1" width="25.14"/>
    <col collapsed="false" customWidth="true" hidden="false" outlineLevel="0" max="9734" min="9734" style="1" width="18.86"/>
    <col collapsed="false" customWidth="false" hidden="false" outlineLevel="0" max="9984" min="9735" style="1" width="11.43"/>
    <col collapsed="false" customWidth="true" hidden="false" outlineLevel="0" max="9985" min="9985" style="1" width="18"/>
    <col collapsed="false" customWidth="false" hidden="false" outlineLevel="0" max="9987" min="9986" style="1" width="11.43"/>
    <col collapsed="false" customWidth="true" hidden="false" outlineLevel="0" max="9988" min="9988" style="1" width="24.42"/>
    <col collapsed="false" customWidth="true" hidden="false" outlineLevel="0" max="9989" min="9989" style="1" width="25.14"/>
    <col collapsed="false" customWidth="true" hidden="false" outlineLevel="0" max="9990" min="9990" style="1" width="18.86"/>
    <col collapsed="false" customWidth="false" hidden="false" outlineLevel="0" max="10240" min="9991" style="1" width="11.43"/>
    <col collapsed="false" customWidth="true" hidden="false" outlineLevel="0" max="10241" min="10241" style="1" width="18"/>
    <col collapsed="false" customWidth="false" hidden="false" outlineLevel="0" max="10243" min="10242" style="1" width="11.43"/>
    <col collapsed="false" customWidth="true" hidden="false" outlineLevel="0" max="10244" min="10244" style="1" width="24.42"/>
    <col collapsed="false" customWidth="true" hidden="false" outlineLevel="0" max="10245" min="10245" style="1" width="25.14"/>
    <col collapsed="false" customWidth="true" hidden="false" outlineLevel="0" max="10246" min="10246" style="1" width="18.86"/>
    <col collapsed="false" customWidth="false" hidden="false" outlineLevel="0" max="10496" min="10247" style="1" width="11.43"/>
    <col collapsed="false" customWidth="true" hidden="false" outlineLevel="0" max="10497" min="10497" style="1" width="18"/>
    <col collapsed="false" customWidth="false" hidden="false" outlineLevel="0" max="10499" min="10498" style="1" width="11.43"/>
    <col collapsed="false" customWidth="true" hidden="false" outlineLevel="0" max="10500" min="10500" style="1" width="24.42"/>
    <col collapsed="false" customWidth="true" hidden="false" outlineLevel="0" max="10501" min="10501" style="1" width="25.14"/>
    <col collapsed="false" customWidth="true" hidden="false" outlineLevel="0" max="10502" min="10502" style="1" width="18.86"/>
    <col collapsed="false" customWidth="false" hidden="false" outlineLevel="0" max="10752" min="10503" style="1" width="11.43"/>
    <col collapsed="false" customWidth="true" hidden="false" outlineLevel="0" max="10753" min="10753" style="1" width="18"/>
    <col collapsed="false" customWidth="false" hidden="false" outlineLevel="0" max="10755" min="10754" style="1" width="11.43"/>
    <col collapsed="false" customWidth="true" hidden="false" outlineLevel="0" max="10756" min="10756" style="1" width="24.42"/>
    <col collapsed="false" customWidth="true" hidden="false" outlineLevel="0" max="10757" min="10757" style="1" width="25.14"/>
    <col collapsed="false" customWidth="true" hidden="false" outlineLevel="0" max="10758" min="10758" style="1" width="18.86"/>
    <col collapsed="false" customWidth="false" hidden="false" outlineLevel="0" max="11008" min="10759" style="1" width="11.43"/>
    <col collapsed="false" customWidth="true" hidden="false" outlineLevel="0" max="11009" min="11009" style="1" width="18"/>
    <col collapsed="false" customWidth="false" hidden="false" outlineLevel="0" max="11011" min="11010" style="1" width="11.43"/>
    <col collapsed="false" customWidth="true" hidden="false" outlineLevel="0" max="11012" min="11012" style="1" width="24.42"/>
    <col collapsed="false" customWidth="true" hidden="false" outlineLevel="0" max="11013" min="11013" style="1" width="25.14"/>
    <col collapsed="false" customWidth="true" hidden="false" outlineLevel="0" max="11014" min="11014" style="1" width="18.86"/>
    <col collapsed="false" customWidth="false" hidden="false" outlineLevel="0" max="11264" min="11015" style="1" width="11.43"/>
    <col collapsed="false" customWidth="true" hidden="false" outlineLevel="0" max="11265" min="11265" style="1" width="18"/>
    <col collapsed="false" customWidth="false" hidden="false" outlineLevel="0" max="11267" min="11266" style="1" width="11.43"/>
    <col collapsed="false" customWidth="true" hidden="false" outlineLevel="0" max="11268" min="11268" style="1" width="24.42"/>
    <col collapsed="false" customWidth="true" hidden="false" outlineLevel="0" max="11269" min="11269" style="1" width="25.14"/>
    <col collapsed="false" customWidth="true" hidden="false" outlineLevel="0" max="11270" min="11270" style="1" width="18.86"/>
    <col collapsed="false" customWidth="false" hidden="false" outlineLevel="0" max="11520" min="11271" style="1" width="11.43"/>
    <col collapsed="false" customWidth="true" hidden="false" outlineLevel="0" max="11521" min="11521" style="1" width="18"/>
    <col collapsed="false" customWidth="false" hidden="false" outlineLevel="0" max="11523" min="11522" style="1" width="11.43"/>
    <col collapsed="false" customWidth="true" hidden="false" outlineLevel="0" max="11524" min="11524" style="1" width="24.42"/>
    <col collapsed="false" customWidth="true" hidden="false" outlineLevel="0" max="11525" min="11525" style="1" width="25.14"/>
    <col collapsed="false" customWidth="true" hidden="false" outlineLevel="0" max="11526" min="11526" style="1" width="18.86"/>
    <col collapsed="false" customWidth="false" hidden="false" outlineLevel="0" max="11776" min="11527" style="1" width="11.43"/>
    <col collapsed="false" customWidth="true" hidden="false" outlineLevel="0" max="11777" min="11777" style="1" width="18"/>
    <col collapsed="false" customWidth="false" hidden="false" outlineLevel="0" max="11779" min="11778" style="1" width="11.43"/>
    <col collapsed="false" customWidth="true" hidden="false" outlineLevel="0" max="11780" min="11780" style="1" width="24.42"/>
    <col collapsed="false" customWidth="true" hidden="false" outlineLevel="0" max="11781" min="11781" style="1" width="25.14"/>
    <col collapsed="false" customWidth="true" hidden="false" outlineLevel="0" max="11782" min="11782" style="1" width="18.86"/>
    <col collapsed="false" customWidth="false" hidden="false" outlineLevel="0" max="12032" min="11783" style="1" width="11.43"/>
    <col collapsed="false" customWidth="true" hidden="false" outlineLevel="0" max="12033" min="12033" style="1" width="18"/>
    <col collapsed="false" customWidth="false" hidden="false" outlineLevel="0" max="12035" min="12034" style="1" width="11.43"/>
    <col collapsed="false" customWidth="true" hidden="false" outlineLevel="0" max="12036" min="12036" style="1" width="24.42"/>
    <col collapsed="false" customWidth="true" hidden="false" outlineLevel="0" max="12037" min="12037" style="1" width="25.14"/>
    <col collapsed="false" customWidth="true" hidden="false" outlineLevel="0" max="12038" min="12038" style="1" width="18.86"/>
    <col collapsed="false" customWidth="false" hidden="false" outlineLevel="0" max="12288" min="12039" style="1" width="11.43"/>
    <col collapsed="false" customWidth="true" hidden="false" outlineLevel="0" max="12289" min="12289" style="1" width="18"/>
    <col collapsed="false" customWidth="false" hidden="false" outlineLevel="0" max="12291" min="12290" style="1" width="11.43"/>
    <col collapsed="false" customWidth="true" hidden="false" outlineLevel="0" max="12292" min="12292" style="1" width="24.42"/>
    <col collapsed="false" customWidth="true" hidden="false" outlineLevel="0" max="12293" min="12293" style="1" width="25.14"/>
    <col collapsed="false" customWidth="true" hidden="false" outlineLevel="0" max="12294" min="12294" style="1" width="18.86"/>
    <col collapsed="false" customWidth="false" hidden="false" outlineLevel="0" max="12544" min="12295" style="1" width="11.43"/>
    <col collapsed="false" customWidth="true" hidden="false" outlineLevel="0" max="12545" min="12545" style="1" width="18"/>
    <col collapsed="false" customWidth="false" hidden="false" outlineLevel="0" max="12547" min="12546" style="1" width="11.43"/>
    <col collapsed="false" customWidth="true" hidden="false" outlineLevel="0" max="12548" min="12548" style="1" width="24.42"/>
    <col collapsed="false" customWidth="true" hidden="false" outlineLevel="0" max="12549" min="12549" style="1" width="25.14"/>
    <col collapsed="false" customWidth="true" hidden="false" outlineLevel="0" max="12550" min="12550" style="1" width="18.86"/>
    <col collapsed="false" customWidth="false" hidden="false" outlineLevel="0" max="12800" min="12551" style="1" width="11.43"/>
    <col collapsed="false" customWidth="true" hidden="false" outlineLevel="0" max="12801" min="12801" style="1" width="18"/>
    <col collapsed="false" customWidth="false" hidden="false" outlineLevel="0" max="12803" min="12802" style="1" width="11.43"/>
    <col collapsed="false" customWidth="true" hidden="false" outlineLevel="0" max="12804" min="12804" style="1" width="24.42"/>
    <col collapsed="false" customWidth="true" hidden="false" outlineLevel="0" max="12805" min="12805" style="1" width="25.14"/>
    <col collapsed="false" customWidth="true" hidden="false" outlineLevel="0" max="12806" min="12806" style="1" width="18.86"/>
    <col collapsed="false" customWidth="false" hidden="false" outlineLevel="0" max="13056" min="12807" style="1" width="11.43"/>
    <col collapsed="false" customWidth="true" hidden="false" outlineLevel="0" max="13057" min="13057" style="1" width="18"/>
    <col collapsed="false" customWidth="false" hidden="false" outlineLevel="0" max="13059" min="13058" style="1" width="11.43"/>
    <col collapsed="false" customWidth="true" hidden="false" outlineLevel="0" max="13060" min="13060" style="1" width="24.42"/>
    <col collapsed="false" customWidth="true" hidden="false" outlineLevel="0" max="13061" min="13061" style="1" width="25.14"/>
    <col collapsed="false" customWidth="true" hidden="false" outlineLevel="0" max="13062" min="13062" style="1" width="18.86"/>
    <col collapsed="false" customWidth="false" hidden="false" outlineLevel="0" max="13312" min="13063" style="1" width="11.43"/>
    <col collapsed="false" customWidth="true" hidden="false" outlineLevel="0" max="13313" min="13313" style="1" width="18"/>
    <col collapsed="false" customWidth="false" hidden="false" outlineLevel="0" max="13315" min="13314" style="1" width="11.43"/>
    <col collapsed="false" customWidth="true" hidden="false" outlineLevel="0" max="13316" min="13316" style="1" width="24.42"/>
    <col collapsed="false" customWidth="true" hidden="false" outlineLevel="0" max="13317" min="13317" style="1" width="25.14"/>
    <col collapsed="false" customWidth="true" hidden="false" outlineLevel="0" max="13318" min="13318" style="1" width="18.86"/>
    <col collapsed="false" customWidth="false" hidden="false" outlineLevel="0" max="13568" min="13319" style="1" width="11.43"/>
    <col collapsed="false" customWidth="true" hidden="false" outlineLevel="0" max="13569" min="13569" style="1" width="18"/>
    <col collapsed="false" customWidth="false" hidden="false" outlineLevel="0" max="13571" min="13570" style="1" width="11.43"/>
    <col collapsed="false" customWidth="true" hidden="false" outlineLevel="0" max="13572" min="13572" style="1" width="24.42"/>
    <col collapsed="false" customWidth="true" hidden="false" outlineLevel="0" max="13573" min="13573" style="1" width="25.14"/>
    <col collapsed="false" customWidth="true" hidden="false" outlineLevel="0" max="13574" min="13574" style="1" width="18.86"/>
    <col collapsed="false" customWidth="false" hidden="false" outlineLevel="0" max="13824" min="13575" style="1" width="11.43"/>
    <col collapsed="false" customWidth="true" hidden="false" outlineLevel="0" max="13825" min="13825" style="1" width="18"/>
    <col collapsed="false" customWidth="false" hidden="false" outlineLevel="0" max="13827" min="13826" style="1" width="11.43"/>
    <col collapsed="false" customWidth="true" hidden="false" outlineLevel="0" max="13828" min="13828" style="1" width="24.42"/>
    <col collapsed="false" customWidth="true" hidden="false" outlineLevel="0" max="13829" min="13829" style="1" width="25.14"/>
    <col collapsed="false" customWidth="true" hidden="false" outlineLevel="0" max="13830" min="13830" style="1" width="18.86"/>
    <col collapsed="false" customWidth="false" hidden="false" outlineLevel="0" max="14080" min="13831" style="1" width="11.43"/>
    <col collapsed="false" customWidth="true" hidden="false" outlineLevel="0" max="14081" min="14081" style="1" width="18"/>
    <col collapsed="false" customWidth="false" hidden="false" outlineLevel="0" max="14083" min="14082" style="1" width="11.43"/>
    <col collapsed="false" customWidth="true" hidden="false" outlineLevel="0" max="14084" min="14084" style="1" width="24.42"/>
    <col collapsed="false" customWidth="true" hidden="false" outlineLevel="0" max="14085" min="14085" style="1" width="25.14"/>
    <col collapsed="false" customWidth="true" hidden="false" outlineLevel="0" max="14086" min="14086" style="1" width="18.86"/>
    <col collapsed="false" customWidth="false" hidden="false" outlineLevel="0" max="14336" min="14087" style="1" width="11.43"/>
    <col collapsed="false" customWidth="true" hidden="false" outlineLevel="0" max="14337" min="14337" style="1" width="18"/>
    <col collapsed="false" customWidth="false" hidden="false" outlineLevel="0" max="14339" min="14338" style="1" width="11.43"/>
    <col collapsed="false" customWidth="true" hidden="false" outlineLevel="0" max="14340" min="14340" style="1" width="24.42"/>
    <col collapsed="false" customWidth="true" hidden="false" outlineLevel="0" max="14341" min="14341" style="1" width="25.14"/>
    <col collapsed="false" customWidth="true" hidden="false" outlineLevel="0" max="14342" min="14342" style="1" width="18.86"/>
    <col collapsed="false" customWidth="false" hidden="false" outlineLevel="0" max="14592" min="14343" style="1" width="11.43"/>
    <col collapsed="false" customWidth="true" hidden="false" outlineLevel="0" max="14593" min="14593" style="1" width="18"/>
    <col collapsed="false" customWidth="false" hidden="false" outlineLevel="0" max="14595" min="14594" style="1" width="11.43"/>
    <col collapsed="false" customWidth="true" hidden="false" outlineLevel="0" max="14596" min="14596" style="1" width="24.42"/>
    <col collapsed="false" customWidth="true" hidden="false" outlineLevel="0" max="14597" min="14597" style="1" width="25.14"/>
    <col collapsed="false" customWidth="true" hidden="false" outlineLevel="0" max="14598" min="14598" style="1" width="18.86"/>
    <col collapsed="false" customWidth="false" hidden="false" outlineLevel="0" max="14848" min="14599" style="1" width="11.43"/>
    <col collapsed="false" customWidth="true" hidden="false" outlineLevel="0" max="14849" min="14849" style="1" width="18"/>
    <col collapsed="false" customWidth="false" hidden="false" outlineLevel="0" max="14851" min="14850" style="1" width="11.43"/>
    <col collapsed="false" customWidth="true" hidden="false" outlineLevel="0" max="14852" min="14852" style="1" width="24.42"/>
    <col collapsed="false" customWidth="true" hidden="false" outlineLevel="0" max="14853" min="14853" style="1" width="25.14"/>
    <col collapsed="false" customWidth="true" hidden="false" outlineLevel="0" max="14854" min="14854" style="1" width="18.86"/>
    <col collapsed="false" customWidth="false" hidden="false" outlineLevel="0" max="15104" min="14855" style="1" width="11.43"/>
    <col collapsed="false" customWidth="true" hidden="false" outlineLevel="0" max="15105" min="15105" style="1" width="18"/>
    <col collapsed="false" customWidth="false" hidden="false" outlineLevel="0" max="15107" min="15106" style="1" width="11.43"/>
    <col collapsed="false" customWidth="true" hidden="false" outlineLevel="0" max="15108" min="15108" style="1" width="24.42"/>
    <col collapsed="false" customWidth="true" hidden="false" outlineLevel="0" max="15109" min="15109" style="1" width="25.14"/>
    <col collapsed="false" customWidth="true" hidden="false" outlineLevel="0" max="15110" min="15110" style="1" width="18.86"/>
    <col collapsed="false" customWidth="false" hidden="false" outlineLevel="0" max="15360" min="15111" style="1" width="11.43"/>
    <col collapsed="false" customWidth="true" hidden="false" outlineLevel="0" max="15361" min="15361" style="1" width="18"/>
    <col collapsed="false" customWidth="false" hidden="false" outlineLevel="0" max="15363" min="15362" style="1" width="11.43"/>
    <col collapsed="false" customWidth="true" hidden="false" outlineLevel="0" max="15364" min="15364" style="1" width="24.42"/>
    <col collapsed="false" customWidth="true" hidden="false" outlineLevel="0" max="15365" min="15365" style="1" width="25.14"/>
    <col collapsed="false" customWidth="true" hidden="false" outlineLevel="0" max="15366" min="15366" style="1" width="18.86"/>
    <col collapsed="false" customWidth="false" hidden="false" outlineLevel="0" max="15616" min="15367" style="1" width="11.43"/>
    <col collapsed="false" customWidth="true" hidden="false" outlineLevel="0" max="15617" min="15617" style="1" width="18"/>
    <col collapsed="false" customWidth="false" hidden="false" outlineLevel="0" max="15619" min="15618" style="1" width="11.43"/>
    <col collapsed="false" customWidth="true" hidden="false" outlineLevel="0" max="15620" min="15620" style="1" width="24.42"/>
    <col collapsed="false" customWidth="true" hidden="false" outlineLevel="0" max="15621" min="15621" style="1" width="25.14"/>
    <col collapsed="false" customWidth="true" hidden="false" outlineLevel="0" max="15622" min="15622" style="1" width="18.86"/>
    <col collapsed="false" customWidth="false" hidden="false" outlineLevel="0" max="15872" min="15623" style="1" width="11.43"/>
    <col collapsed="false" customWidth="true" hidden="false" outlineLevel="0" max="15873" min="15873" style="1" width="18"/>
    <col collapsed="false" customWidth="false" hidden="false" outlineLevel="0" max="15875" min="15874" style="1" width="11.43"/>
    <col collapsed="false" customWidth="true" hidden="false" outlineLevel="0" max="15876" min="15876" style="1" width="24.42"/>
    <col collapsed="false" customWidth="true" hidden="false" outlineLevel="0" max="15877" min="15877" style="1" width="25.14"/>
    <col collapsed="false" customWidth="true" hidden="false" outlineLevel="0" max="15878" min="15878" style="1" width="18.86"/>
    <col collapsed="false" customWidth="false" hidden="false" outlineLevel="0" max="16128" min="15879" style="1" width="11.43"/>
    <col collapsed="false" customWidth="true" hidden="false" outlineLevel="0" max="16129" min="16129" style="1" width="18"/>
    <col collapsed="false" customWidth="false" hidden="false" outlineLevel="0" max="16131" min="16130" style="1" width="11.43"/>
    <col collapsed="false" customWidth="true" hidden="false" outlineLevel="0" max="16132" min="16132" style="1" width="24.42"/>
    <col collapsed="false" customWidth="true" hidden="false" outlineLevel="0" max="16133" min="16133" style="1" width="25.14"/>
    <col collapsed="false" customWidth="true" hidden="false" outlineLevel="0" max="16134" min="16134" style="1" width="18.86"/>
    <col collapsed="false" customWidth="false" hidden="false" outlineLevel="0" max="16384" min="16135" style="1" width="11.43"/>
  </cols>
  <sheetData>
    <row r="1" customFormat="false" ht="21" hidden="false" customHeight="true" outlineLevel="0" collapsed="false">
      <c r="A1" s="2" t="s">
        <v>0</v>
      </c>
    </row>
    <row r="4" customFormat="false" ht="15" hidden="false" customHeight="false" outlineLevel="0" collapsed="false">
      <c r="A4" s="1" t="s">
        <v>1</v>
      </c>
      <c r="B4" s="3" t="n">
        <v>0</v>
      </c>
      <c r="C4" s="1" t="s">
        <v>2</v>
      </c>
    </row>
    <row r="5" customFormat="false" ht="15" hidden="false" customHeight="false" outlineLevel="0" collapsed="false">
      <c r="A5" s="1" t="s">
        <v>3</v>
      </c>
      <c r="B5" s="3" t="n">
        <v>0</v>
      </c>
      <c r="C5" s="1" t="s">
        <v>2</v>
      </c>
    </row>
    <row r="6" customFormat="false" ht="15" hidden="false" customHeight="false" outlineLevel="0" collapsed="false">
      <c r="A6" s="1" t="s">
        <v>4</v>
      </c>
      <c r="B6" s="3" t="n">
        <v>0.15</v>
      </c>
      <c r="C6" s="1" t="s">
        <v>2</v>
      </c>
    </row>
    <row r="9" customFormat="false" ht="15" hidden="false" customHeight="false" outlineLevel="0" collapsed="false">
      <c r="A9" s="1" t="s">
        <v>5</v>
      </c>
      <c r="B9" s="4" t="n">
        <v>6</v>
      </c>
    </row>
    <row r="10" customFormat="false" ht="15" hidden="false" customHeight="false" outlineLevel="0" collapsed="false">
      <c r="A10" s="1" t="s">
        <v>6</v>
      </c>
      <c r="B10" s="5" t="n">
        <f aca="false">EXP(2*PI()/(B9*TAN(PI()/B9)))</f>
        <v>6.13370740623623</v>
      </c>
    </row>
    <row r="11" customFormat="false" ht="15" hidden="false" customHeight="false" outlineLevel="0" collapsed="false">
      <c r="A11" s="1" t="s">
        <v>7</v>
      </c>
      <c r="B11" s="5" t="n">
        <f aca="false">B10*B6</f>
        <v>0.920056110935434</v>
      </c>
      <c r="C11" s="1" t="s">
        <v>2</v>
      </c>
    </row>
    <row r="12" customFormat="false" ht="15" hidden="false" customHeight="false" outlineLevel="0" collapsed="false">
      <c r="C12" s="1" t="s">
        <v>8</v>
      </c>
    </row>
    <row r="14" customFormat="false" ht="15" hidden="false" customHeight="false" outlineLevel="0" collapsed="false">
      <c r="A14" s="6" t="s">
        <v>9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/>
    </row>
    <row r="15" customFormat="false" ht="15" hidden="false" customHeight="false" outlineLevel="0" collapsed="false">
      <c r="A15" s="6" t="n">
        <f aca="false">$B$4</f>
        <v>0</v>
      </c>
      <c r="B15" s="6" t="n">
        <f aca="false">$B$5</f>
        <v>0</v>
      </c>
      <c r="C15" s="7" t="n">
        <v>0</v>
      </c>
      <c r="D15" s="8" t="n">
        <f aca="false">A15</f>
        <v>0</v>
      </c>
      <c r="E15" s="8" t="n">
        <f aca="false">B15</f>
        <v>0</v>
      </c>
      <c r="F15" s="8" t="str">
        <f aca="false">IF(C15&gt;$B$9+1,"delete node","")</f>
        <v/>
      </c>
      <c r="G15" s="9"/>
    </row>
    <row r="16" customFormat="false" ht="15" hidden="false" customHeight="false" outlineLevel="0" collapsed="false">
      <c r="A16" s="6" t="n">
        <f aca="false">$B$4</f>
        <v>0</v>
      </c>
      <c r="B16" s="6" t="n">
        <f aca="false">$B$5</f>
        <v>0</v>
      </c>
      <c r="C16" s="7" t="n">
        <f aca="false">B7+1</f>
        <v>1</v>
      </c>
      <c r="D16" s="8" t="n">
        <f aca="false">A16+SIN((C16-2.5)*2*PI()/$B$9)*$B$11</f>
        <v>-0.920056110935434</v>
      </c>
      <c r="E16" s="8" t="n">
        <f aca="false">B16+COS((C16-2.5)*2*PI()/$B$9)*$B$11</f>
        <v>5.63371885646521E-017</v>
      </c>
      <c r="F16" s="8" t="str">
        <f aca="false">IF(C16&gt;$B$9+1,"delete node","")</f>
        <v/>
      </c>
      <c r="G16" s="9"/>
    </row>
    <row r="17" customFormat="false" ht="15" hidden="false" customHeight="false" outlineLevel="0" collapsed="false">
      <c r="A17" s="6" t="n">
        <f aca="false">$B$4</f>
        <v>0</v>
      </c>
      <c r="B17" s="6" t="n">
        <f aca="false">$B$5</f>
        <v>0</v>
      </c>
      <c r="C17" s="7" t="n">
        <f aca="false">C16+1</f>
        <v>2</v>
      </c>
      <c r="D17" s="8" t="n">
        <f aca="false">A17+SIN((C17-2.5)*2*PI()/$B$9)*$B$11</f>
        <v>-0.460028055467717</v>
      </c>
      <c r="E17" s="8" t="n">
        <f aca="false">B17+COS((C17-2.5)*2*PI()/$B$9)*$B$11</f>
        <v>0.7967919649772</v>
      </c>
      <c r="F17" s="8" t="str">
        <f aca="false">IF(C17&gt;$B$9+1,"delete node","")</f>
        <v/>
      </c>
      <c r="G17" s="9"/>
    </row>
    <row r="18" customFormat="false" ht="15" hidden="false" customHeight="false" outlineLevel="0" collapsed="false">
      <c r="A18" s="6" t="n">
        <f aca="false">$B$4</f>
        <v>0</v>
      </c>
      <c r="B18" s="6" t="n">
        <f aca="false">$B$5</f>
        <v>0</v>
      </c>
      <c r="C18" s="7" t="n">
        <f aca="false">C17+1</f>
        <v>3</v>
      </c>
      <c r="D18" s="8" t="n">
        <f aca="false">A18+SIN((C18-2.5)*2*PI()/$B$9)*$B$11</f>
        <v>0.460028055467717</v>
      </c>
      <c r="E18" s="8" t="n">
        <f aca="false">B18+COS((C18-2.5)*2*PI()/$B$9)*$B$11</f>
        <v>0.7967919649772</v>
      </c>
      <c r="F18" s="8" t="str">
        <f aca="false">IF(C18&gt;$B$9+1,"delete node","")</f>
        <v/>
      </c>
      <c r="G18" s="9"/>
    </row>
    <row r="19" customFormat="false" ht="15" hidden="false" customHeight="false" outlineLevel="0" collapsed="false">
      <c r="A19" s="6" t="n">
        <f aca="false">$B$4</f>
        <v>0</v>
      </c>
      <c r="B19" s="6" t="n">
        <f aca="false">$B$5</f>
        <v>0</v>
      </c>
      <c r="C19" s="7" t="n">
        <f aca="false">C18+1</f>
        <v>4</v>
      </c>
      <c r="D19" s="8" t="n">
        <f aca="false">A19+SIN((C19-2.5)*2*PI()/$B$9)*$B$11</f>
        <v>0.920056110935434</v>
      </c>
      <c r="E19" s="8" t="n">
        <f aca="false">B19+COS((C19-2.5)*2*PI()/$B$9)*$B$11</f>
        <v>5.63371885646521E-017</v>
      </c>
      <c r="F19" s="8" t="str">
        <f aca="false">IF(C19&gt;$B$9+1,"delete node","")</f>
        <v/>
      </c>
      <c r="G19" s="9"/>
    </row>
    <row r="20" customFormat="false" ht="15" hidden="false" customHeight="false" outlineLevel="0" collapsed="false">
      <c r="A20" s="6" t="n">
        <f aca="false">$B$4</f>
        <v>0</v>
      </c>
      <c r="B20" s="6" t="n">
        <f aca="false">$B$5</f>
        <v>0</v>
      </c>
      <c r="C20" s="7" t="n">
        <f aca="false">C19+1</f>
        <v>5</v>
      </c>
      <c r="D20" s="8" t="n">
        <f aca="false">A20+SIN((C20-2.5)*2*PI()/$B$9)*$B$11</f>
        <v>0.460028055467717</v>
      </c>
      <c r="E20" s="8" t="n">
        <f aca="false">B20+COS((C20-2.5)*2*PI()/$B$9)*$B$11</f>
        <v>-0.7967919649772</v>
      </c>
      <c r="F20" s="8" t="str">
        <f aca="false">IF(C20&gt;$B$9+1,"delete node","")</f>
        <v/>
      </c>
      <c r="G20" s="9"/>
    </row>
    <row r="21" customFormat="false" ht="15" hidden="false" customHeight="false" outlineLevel="0" collapsed="false">
      <c r="A21" s="6" t="n">
        <f aca="false">$B$4</f>
        <v>0</v>
      </c>
      <c r="B21" s="6" t="n">
        <f aca="false">$B$5</f>
        <v>0</v>
      </c>
      <c r="C21" s="7" t="n">
        <f aca="false">C20+1</f>
        <v>6</v>
      </c>
      <c r="D21" s="8" t="n">
        <f aca="false">A21+SIN((C21-2.5)*2*PI()/$B$9)*$B$11</f>
        <v>-0.460028055467717</v>
      </c>
      <c r="E21" s="8" t="n">
        <f aca="false">B21+COS((C21-2.5)*2*PI()/$B$9)*$B$11</f>
        <v>-0.7967919649772</v>
      </c>
      <c r="F21" s="8" t="str">
        <f aca="false">IF(C21&gt;$B$9+1,"delete node","")</f>
        <v/>
      </c>
      <c r="G21" s="9"/>
    </row>
    <row r="22" customFormat="false" ht="15" hidden="false" customHeight="false" outlineLevel="0" collapsed="false">
      <c r="A22" s="6"/>
      <c r="B22" s="6"/>
      <c r="C22" s="7" t="s">
        <v>15</v>
      </c>
      <c r="D22" s="7"/>
      <c r="E22" s="7"/>
      <c r="F22" s="7"/>
      <c r="G22" s="6"/>
    </row>
    <row r="24" customFormat="false" ht="15" hidden="false" customHeight="false" outlineLevel="0" collapsed="false">
      <c r="C24" s="1" t="s">
        <v>16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3.29"/>
    <col collapsed="false" customWidth="true" hidden="false" outlineLevel="0" max="3" min="2" style="10" width="9.14"/>
  </cols>
  <sheetData>
    <row r="1" customFormat="false" ht="15" hidden="false" customHeight="false" outlineLevel="0" collapsed="false">
      <c r="A1" s="11" t="s">
        <v>17</v>
      </c>
      <c r="B1" s="11" t="s">
        <v>12</v>
      </c>
      <c r="C1" s="11" t="s">
        <v>13</v>
      </c>
      <c r="E1" s="12" t="s">
        <v>18</v>
      </c>
      <c r="F1" s="12" t="s">
        <v>19</v>
      </c>
      <c r="G1" s="12" t="s">
        <v>20</v>
      </c>
      <c r="I1" s="12" t="s">
        <v>21</v>
      </c>
      <c r="J1" s="12" t="s">
        <v>19</v>
      </c>
      <c r="K1" s="12" t="s">
        <v>20</v>
      </c>
    </row>
    <row r="2" customFormat="false" ht="15" hidden="false" customHeight="false" outlineLevel="0" collapsed="false">
      <c r="A2" s="10" t="n">
        <v>100</v>
      </c>
      <c r="B2" s="10" t="n">
        <f aca="false">SUMIF($I$2:$I$11,$A2,J$2:J$11)</f>
        <v>3000</v>
      </c>
      <c r="C2" s="10" t="n">
        <f aca="false">SUMIF($I$2:$I$11,$A2,K$2:K$11)</f>
        <v>4000</v>
      </c>
      <c r="E2" s="13" t="n">
        <f aca="false">'BHE nodes'!C15</f>
        <v>0</v>
      </c>
      <c r="F2" s="13" t="n">
        <f aca="false">ROUND('BHE nodes'!D15,3)</f>
        <v>0</v>
      </c>
      <c r="G2" s="13" t="n">
        <f aca="false">ROUND('BHE nodes'!E15,3)</f>
        <v>0</v>
      </c>
      <c r="I2" s="13" t="n">
        <v>100</v>
      </c>
      <c r="J2" s="13" t="n">
        <v>3000</v>
      </c>
      <c r="K2" s="13" t="n">
        <v>4000</v>
      </c>
    </row>
    <row r="3" customFormat="false" ht="15" hidden="false" customHeight="false" outlineLevel="0" collapsed="false">
      <c r="A3" s="10" t="n">
        <v>101</v>
      </c>
      <c r="B3" s="10" t="n">
        <f aca="false">$B$2+F3</f>
        <v>2999.08</v>
      </c>
      <c r="C3" s="10" t="n">
        <f aca="false">$C$2+G3</f>
        <v>4000</v>
      </c>
      <c r="E3" s="13" t="n">
        <f aca="false">'BHE nodes'!C16</f>
        <v>1</v>
      </c>
      <c r="F3" s="13" t="n">
        <f aca="false">ROUND('BHE nodes'!D16,3)</f>
        <v>-0.92</v>
      </c>
      <c r="G3" s="13" t="n">
        <f aca="false">ROUND('BHE nodes'!E16,3)</f>
        <v>0</v>
      </c>
      <c r="I3" s="13" t="n">
        <f aca="false">I2+100</f>
        <v>200</v>
      </c>
      <c r="J3" s="13" t="n">
        <v>3000</v>
      </c>
      <c r="K3" s="13" t="n">
        <v>4250</v>
      </c>
    </row>
    <row r="4" customFormat="false" ht="15" hidden="false" customHeight="false" outlineLevel="0" collapsed="false">
      <c r="A4" s="10" t="n">
        <v>102</v>
      </c>
      <c r="B4" s="10" t="n">
        <f aca="false">$B$2+F4</f>
        <v>2999.54</v>
      </c>
      <c r="C4" s="10" t="n">
        <f aca="false">$C$2+G4</f>
        <v>4000.797</v>
      </c>
      <c r="E4" s="13" t="n">
        <f aca="false">'BHE nodes'!C17</f>
        <v>2</v>
      </c>
      <c r="F4" s="13" t="n">
        <f aca="false">ROUND('BHE nodes'!D17,3)</f>
        <v>-0.46</v>
      </c>
      <c r="G4" s="13" t="n">
        <f aca="false">ROUND('BHE nodes'!E17,3)</f>
        <v>0.797</v>
      </c>
      <c r="I4" s="13" t="n">
        <f aca="false">I3+100</f>
        <v>300</v>
      </c>
      <c r="J4" s="13" t="n">
        <v>3000</v>
      </c>
      <c r="K4" s="13" t="n">
        <v>3750</v>
      </c>
    </row>
    <row r="5" customFormat="false" ht="15" hidden="false" customHeight="false" outlineLevel="0" collapsed="false">
      <c r="A5" s="10" t="n">
        <v>103</v>
      </c>
      <c r="B5" s="10" t="n">
        <f aca="false">$B$2+F5</f>
        <v>3000.46</v>
      </c>
      <c r="C5" s="10" t="n">
        <f aca="false">$C$2+G5</f>
        <v>4000.797</v>
      </c>
      <c r="E5" s="13" t="n">
        <f aca="false">'BHE nodes'!C18</f>
        <v>3</v>
      </c>
      <c r="F5" s="13" t="n">
        <f aca="false">ROUND('BHE nodes'!D18,3)</f>
        <v>0.46</v>
      </c>
      <c r="G5" s="13" t="n">
        <f aca="false">ROUND('BHE nodes'!E18,3)</f>
        <v>0.797</v>
      </c>
      <c r="I5" s="13" t="n">
        <f aca="false">I4+100</f>
        <v>400</v>
      </c>
      <c r="J5" s="13" t="n">
        <v>2750</v>
      </c>
      <c r="K5" s="13" t="n">
        <v>4000</v>
      </c>
    </row>
    <row r="6" customFormat="false" ht="15" hidden="false" customHeight="false" outlineLevel="0" collapsed="false">
      <c r="A6" s="10" t="n">
        <v>104</v>
      </c>
      <c r="B6" s="10" t="n">
        <f aca="false">$B$2+F6</f>
        <v>3000.92</v>
      </c>
      <c r="C6" s="10" t="n">
        <f aca="false">$C$2+G6</f>
        <v>4000</v>
      </c>
      <c r="E6" s="13" t="n">
        <f aca="false">'BHE nodes'!C19</f>
        <v>4</v>
      </c>
      <c r="F6" s="13" t="n">
        <f aca="false">ROUND('BHE nodes'!D19,3)</f>
        <v>0.92</v>
      </c>
      <c r="G6" s="13" t="n">
        <f aca="false">ROUND('BHE nodes'!E19,3)</f>
        <v>0</v>
      </c>
      <c r="I6" s="13" t="n">
        <f aca="false">I5+100</f>
        <v>500</v>
      </c>
      <c r="J6" s="13" t="n">
        <v>3250</v>
      </c>
      <c r="K6" s="13" t="n">
        <v>4000</v>
      </c>
    </row>
    <row r="7" customFormat="false" ht="15" hidden="false" customHeight="false" outlineLevel="0" collapsed="false">
      <c r="A7" s="10" t="n">
        <v>105</v>
      </c>
      <c r="B7" s="10" t="n">
        <f aca="false">$B$2+F7</f>
        <v>3000.46</v>
      </c>
      <c r="C7" s="10" t="n">
        <f aca="false">$C$2+G7</f>
        <v>3999.203</v>
      </c>
      <c r="E7" s="13" t="n">
        <f aca="false">'BHE nodes'!C20</f>
        <v>5</v>
      </c>
      <c r="F7" s="13" t="n">
        <f aca="false">ROUND('BHE nodes'!D20,3)</f>
        <v>0.46</v>
      </c>
      <c r="G7" s="13" t="n">
        <f aca="false">ROUND('BHE nodes'!E20,3)</f>
        <v>-0.797</v>
      </c>
      <c r="I7" s="13" t="n">
        <f aca="false">I6+100</f>
        <v>600</v>
      </c>
      <c r="J7" s="13" t="n">
        <v>5000</v>
      </c>
      <c r="K7" s="13" t="n">
        <v>4000</v>
      </c>
    </row>
    <row r="8" customFormat="false" ht="15" hidden="false" customHeight="false" outlineLevel="0" collapsed="false">
      <c r="A8" s="10" t="n">
        <v>106</v>
      </c>
      <c r="B8" s="10" t="n">
        <f aca="false">$B$2+F8</f>
        <v>2999.54</v>
      </c>
      <c r="C8" s="10" t="n">
        <f aca="false">$C$2+G8</f>
        <v>3999.203</v>
      </c>
      <c r="E8" s="13" t="n">
        <f aca="false">'BHE nodes'!C21</f>
        <v>6</v>
      </c>
      <c r="F8" s="13" t="n">
        <f aca="false">ROUND('BHE nodes'!D21,3)</f>
        <v>-0.46</v>
      </c>
      <c r="G8" s="13" t="n">
        <f aca="false">ROUND('BHE nodes'!E21,3)</f>
        <v>-0.797</v>
      </c>
      <c r="I8" s="13" t="n">
        <f aca="false">I7+100</f>
        <v>700</v>
      </c>
      <c r="J8" s="13" t="n">
        <v>5000</v>
      </c>
      <c r="K8" s="13" t="n">
        <v>4250</v>
      </c>
    </row>
    <row r="9" customFormat="false" ht="15" hidden="false" customHeight="false" outlineLevel="0" collapsed="false">
      <c r="A9" s="10" t="n">
        <f aca="false">A2+100</f>
        <v>200</v>
      </c>
      <c r="B9" s="10" t="n">
        <f aca="false">SUMIF($I$2:$I$11,$A9,J$2:J$11)</f>
        <v>3000</v>
      </c>
      <c r="C9" s="10" t="n">
        <f aca="false">SUMIF($I$2:$I$11,$A9,K$2:K$11)</f>
        <v>4250</v>
      </c>
      <c r="I9" s="13" t="n">
        <f aca="false">I8+100</f>
        <v>800</v>
      </c>
      <c r="J9" s="13" t="n">
        <v>5000</v>
      </c>
      <c r="K9" s="13" t="n">
        <v>3750</v>
      </c>
    </row>
    <row r="10" customFormat="false" ht="15" hidden="false" customHeight="false" outlineLevel="0" collapsed="false">
      <c r="A10" s="10" t="n">
        <f aca="false">A3+100</f>
        <v>201</v>
      </c>
      <c r="B10" s="10" t="n">
        <f aca="false">B$9+F3</f>
        <v>2999.08</v>
      </c>
      <c r="C10" s="10" t="n">
        <f aca="false">C$9+G3</f>
        <v>4250</v>
      </c>
      <c r="I10" s="13" t="n">
        <f aca="false">I9+100</f>
        <v>900</v>
      </c>
      <c r="J10" s="13" t="n">
        <v>4750</v>
      </c>
      <c r="K10" s="13" t="n">
        <v>4000</v>
      </c>
    </row>
    <row r="11" customFormat="false" ht="15" hidden="false" customHeight="false" outlineLevel="0" collapsed="false">
      <c r="A11" s="10" t="n">
        <f aca="false">A4+100</f>
        <v>202</v>
      </c>
      <c r="B11" s="10" t="n">
        <f aca="false">B$9+F4</f>
        <v>2999.54</v>
      </c>
      <c r="C11" s="10" t="n">
        <f aca="false">C$9+G4</f>
        <v>4250.797</v>
      </c>
      <c r="I11" s="13" t="n">
        <f aca="false">I10+100</f>
        <v>1000</v>
      </c>
      <c r="J11" s="13" t="n">
        <v>5250</v>
      </c>
      <c r="K11" s="13" t="n">
        <v>4000</v>
      </c>
    </row>
    <row r="12" customFormat="false" ht="15" hidden="false" customHeight="false" outlineLevel="0" collapsed="false">
      <c r="A12" s="10" t="n">
        <f aca="false">A5+100</f>
        <v>203</v>
      </c>
      <c r="B12" s="10" t="n">
        <f aca="false">B$9+F5</f>
        <v>3000.46</v>
      </c>
      <c r="C12" s="10" t="n">
        <f aca="false">C$9+G5</f>
        <v>4250.797</v>
      </c>
    </row>
    <row r="13" customFormat="false" ht="15" hidden="false" customHeight="false" outlineLevel="0" collapsed="false">
      <c r="A13" s="10" t="n">
        <f aca="false">A6+100</f>
        <v>204</v>
      </c>
      <c r="B13" s="10" t="n">
        <f aca="false">B$9+F6</f>
        <v>3000.92</v>
      </c>
      <c r="C13" s="10" t="n">
        <f aca="false">C$9+G6</f>
        <v>4250</v>
      </c>
    </row>
    <row r="14" customFormat="false" ht="15" hidden="false" customHeight="false" outlineLevel="0" collapsed="false">
      <c r="A14" s="10" t="n">
        <f aca="false">A7+100</f>
        <v>205</v>
      </c>
      <c r="B14" s="10" t="n">
        <f aca="false">B$9+F7</f>
        <v>3000.46</v>
      </c>
      <c r="C14" s="10" t="n">
        <f aca="false">C$9+G7</f>
        <v>4249.203</v>
      </c>
    </row>
    <row r="15" customFormat="false" ht="15" hidden="false" customHeight="false" outlineLevel="0" collapsed="false">
      <c r="A15" s="10" t="n">
        <f aca="false">A8+100</f>
        <v>206</v>
      </c>
      <c r="B15" s="10" t="n">
        <f aca="false">B$9+F8</f>
        <v>2999.54</v>
      </c>
      <c r="C15" s="10" t="n">
        <f aca="false">C$9+G8</f>
        <v>4249.203</v>
      </c>
    </row>
    <row r="16" customFormat="false" ht="15" hidden="false" customHeight="false" outlineLevel="0" collapsed="false">
      <c r="A16" s="10" t="n">
        <f aca="false">A9+100</f>
        <v>300</v>
      </c>
      <c r="B16" s="10" t="n">
        <f aca="false">SUMIF($I$2:$I$11,$A16,J$2:J$11)</f>
        <v>3000</v>
      </c>
      <c r="C16" s="10" t="n">
        <f aca="false">SUMIF($I$2:$I$11,$A16,K$2:K$11)</f>
        <v>3750</v>
      </c>
    </row>
    <row r="17" customFormat="false" ht="15" hidden="false" customHeight="false" outlineLevel="0" collapsed="false">
      <c r="A17" s="10" t="n">
        <f aca="false">A10+100</f>
        <v>301</v>
      </c>
      <c r="B17" s="10" t="n">
        <f aca="false">B$16+F3</f>
        <v>2999.08</v>
      </c>
      <c r="C17" s="10" t="n">
        <f aca="false">C$16+G3</f>
        <v>3750</v>
      </c>
    </row>
    <row r="18" customFormat="false" ht="15" hidden="false" customHeight="false" outlineLevel="0" collapsed="false">
      <c r="A18" s="10" t="n">
        <f aca="false">A11+100</f>
        <v>302</v>
      </c>
      <c r="B18" s="10" t="n">
        <f aca="false">B$16+F4</f>
        <v>2999.54</v>
      </c>
      <c r="C18" s="10" t="n">
        <f aca="false">C$16+G4</f>
        <v>3750.797</v>
      </c>
    </row>
    <row r="19" customFormat="false" ht="15" hidden="false" customHeight="false" outlineLevel="0" collapsed="false">
      <c r="A19" s="10" t="n">
        <f aca="false">A12+100</f>
        <v>303</v>
      </c>
      <c r="B19" s="10" t="n">
        <f aca="false">B$16+F5</f>
        <v>3000.46</v>
      </c>
      <c r="C19" s="10" t="n">
        <f aca="false">C$16+G5</f>
        <v>3750.797</v>
      </c>
    </row>
    <row r="20" customFormat="false" ht="15" hidden="false" customHeight="false" outlineLevel="0" collapsed="false">
      <c r="A20" s="10" t="n">
        <f aca="false">A13+100</f>
        <v>304</v>
      </c>
      <c r="B20" s="10" t="n">
        <f aca="false">B$16+F6</f>
        <v>3000.92</v>
      </c>
      <c r="C20" s="10" t="n">
        <f aca="false">C$16+G6</f>
        <v>3750</v>
      </c>
    </row>
    <row r="21" customFormat="false" ht="15" hidden="false" customHeight="false" outlineLevel="0" collapsed="false">
      <c r="A21" s="10" t="n">
        <f aca="false">A14+100</f>
        <v>305</v>
      </c>
      <c r="B21" s="10" t="n">
        <f aca="false">B$16+F7</f>
        <v>3000.46</v>
      </c>
      <c r="C21" s="10" t="n">
        <f aca="false">C$16+G7</f>
        <v>3749.203</v>
      </c>
    </row>
    <row r="22" customFormat="false" ht="15" hidden="false" customHeight="false" outlineLevel="0" collapsed="false">
      <c r="A22" s="10" t="n">
        <f aca="false">A15+100</f>
        <v>306</v>
      </c>
      <c r="B22" s="10" t="n">
        <f aca="false">B$16+F8</f>
        <v>2999.54</v>
      </c>
      <c r="C22" s="10" t="n">
        <f aca="false">C$16+G8</f>
        <v>3749.203</v>
      </c>
    </row>
    <row r="23" customFormat="false" ht="15" hidden="false" customHeight="false" outlineLevel="0" collapsed="false">
      <c r="A23" s="10" t="n">
        <f aca="false">A16+100</f>
        <v>400</v>
      </c>
      <c r="B23" s="10" t="n">
        <f aca="false">SUMIF($I$2:$I$11,$A23,J$2:J$11)</f>
        <v>2750</v>
      </c>
      <c r="C23" s="10" t="n">
        <f aca="false">SUMIF($I$2:$I$11,$A23,K$2:K$11)</f>
        <v>4000</v>
      </c>
    </row>
    <row r="24" customFormat="false" ht="15" hidden="false" customHeight="false" outlineLevel="0" collapsed="false">
      <c r="A24" s="10" t="n">
        <f aca="false">A17+100</f>
        <v>401</v>
      </c>
      <c r="B24" s="10" t="n">
        <f aca="false">B$23+F3</f>
        <v>2749.08</v>
      </c>
      <c r="C24" s="10" t="n">
        <f aca="false">C$23+G3</f>
        <v>4000</v>
      </c>
    </row>
    <row r="25" customFormat="false" ht="15" hidden="false" customHeight="false" outlineLevel="0" collapsed="false">
      <c r="A25" s="10" t="n">
        <f aca="false">A18+100</f>
        <v>402</v>
      </c>
      <c r="B25" s="10" t="n">
        <f aca="false">B$23+F4</f>
        <v>2749.54</v>
      </c>
      <c r="C25" s="10" t="n">
        <f aca="false">C$23+G4</f>
        <v>4000.797</v>
      </c>
    </row>
    <row r="26" customFormat="false" ht="15" hidden="false" customHeight="false" outlineLevel="0" collapsed="false">
      <c r="A26" s="10" t="n">
        <f aca="false">A19+100</f>
        <v>403</v>
      </c>
      <c r="B26" s="10" t="n">
        <f aca="false">B$23+F5</f>
        <v>2750.46</v>
      </c>
      <c r="C26" s="10" t="n">
        <f aca="false">C$23+G5</f>
        <v>4000.797</v>
      </c>
    </row>
    <row r="27" customFormat="false" ht="15" hidden="false" customHeight="false" outlineLevel="0" collapsed="false">
      <c r="A27" s="10" t="n">
        <f aca="false">A20+100</f>
        <v>404</v>
      </c>
      <c r="B27" s="10" t="n">
        <f aca="false">B$23+F6</f>
        <v>2750.92</v>
      </c>
      <c r="C27" s="10" t="n">
        <f aca="false">C$23+G6</f>
        <v>4000</v>
      </c>
    </row>
    <row r="28" customFormat="false" ht="15" hidden="false" customHeight="false" outlineLevel="0" collapsed="false">
      <c r="A28" s="10" t="n">
        <f aca="false">A21+100</f>
        <v>405</v>
      </c>
      <c r="B28" s="10" t="n">
        <f aca="false">B$23+F7</f>
        <v>2750.46</v>
      </c>
      <c r="C28" s="10" t="n">
        <f aca="false">C$23+G7</f>
        <v>3999.203</v>
      </c>
    </row>
    <row r="29" customFormat="false" ht="15" hidden="false" customHeight="false" outlineLevel="0" collapsed="false">
      <c r="A29" s="10" t="n">
        <f aca="false">A22+100</f>
        <v>406</v>
      </c>
      <c r="B29" s="10" t="n">
        <f aca="false">B$23+F8</f>
        <v>2749.54</v>
      </c>
      <c r="C29" s="10" t="n">
        <f aca="false">C$23+G8</f>
        <v>3999.203</v>
      </c>
    </row>
    <row r="30" customFormat="false" ht="15" hidden="false" customHeight="false" outlineLevel="0" collapsed="false">
      <c r="A30" s="10" t="n">
        <f aca="false">A23+100</f>
        <v>500</v>
      </c>
      <c r="B30" s="10" t="n">
        <f aca="false">SUMIF($I$2:$I$11,$A30,J$2:J$11)</f>
        <v>3250</v>
      </c>
      <c r="C30" s="10" t="n">
        <f aca="false">SUMIF($I$2:$I$11,$A30,K$2:K$11)</f>
        <v>4000</v>
      </c>
    </row>
    <row r="31" customFormat="false" ht="15" hidden="false" customHeight="false" outlineLevel="0" collapsed="false">
      <c r="A31" s="10" t="n">
        <f aca="false">A24+100</f>
        <v>501</v>
      </c>
      <c r="B31" s="10" t="n">
        <f aca="false">B$30+F3</f>
        <v>3249.08</v>
      </c>
      <c r="C31" s="10" t="n">
        <f aca="false">C$30+G3</f>
        <v>4000</v>
      </c>
    </row>
    <row r="32" customFormat="false" ht="15" hidden="false" customHeight="false" outlineLevel="0" collapsed="false">
      <c r="A32" s="10" t="n">
        <f aca="false">A25+100</f>
        <v>502</v>
      </c>
      <c r="B32" s="10" t="n">
        <f aca="false">B$30+F4</f>
        <v>3249.54</v>
      </c>
      <c r="C32" s="10" t="n">
        <f aca="false">C$30+G4</f>
        <v>4000.797</v>
      </c>
    </row>
    <row r="33" customFormat="false" ht="15" hidden="false" customHeight="false" outlineLevel="0" collapsed="false">
      <c r="A33" s="10" t="n">
        <f aca="false">A26+100</f>
        <v>503</v>
      </c>
      <c r="B33" s="10" t="n">
        <f aca="false">B$30+F5</f>
        <v>3250.46</v>
      </c>
      <c r="C33" s="10" t="n">
        <f aca="false">C$30+G5</f>
        <v>4000.797</v>
      </c>
    </row>
    <row r="34" customFormat="false" ht="15" hidden="false" customHeight="false" outlineLevel="0" collapsed="false">
      <c r="A34" s="10" t="n">
        <f aca="false">A27+100</f>
        <v>504</v>
      </c>
      <c r="B34" s="10" t="n">
        <f aca="false">B$30+F6</f>
        <v>3250.92</v>
      </c>
      <c r="C34" s="10" t="n">
        <f aca="false">C$30+G6</f>
        <v>4000</v>
      </c>
    </row>
    <row r="35" customFormat="false" ht="15" hidden="false" customHeight="false" outlineLevel="0" collapsed="false">
      <c r="A35" s="10" t="n">
        <f aca="false">A28+100</f>
        <v>505</v>
      </c>
      <c r="B35" s="10" t="n">
        <f aca="false">B$30+F7</f>
        <v>3250.46</v>
      </c>
      <c r="C35" s="10" t="n">
        <f aca="false">C$30+G7</f>
        <v>3999.203</v>
      </c>
    </row>
    <row r="36" customFormat="false" ht="15" hidden="false" customHeight="false" outlineLevel="0" collapsed="false">
      <c r="A36" s="10" t="n">
        <f aca="false">A29+100</f>
        <v>506</v>
      </c>
      <c r="B36" s="10" t="n">
        <f aca="false">B$30+F8</f>
        <v>3249.54</v>
      </c>
      <c r="C36" s="10" t="n">
        <f aca="false">C$30+G8</f>
        <v>3999.203</v>
      </c>
    </row>
    <row r="37" customFormat="false" ht="15" hidden="false" customHeight="false" outlineLevel="0" collapsed="false">
      <c r="A37" s="10" t="n">
        <f aca="false">A30+100</f>
        <v>600</v>
      </c>
      <c r="B37" s="10" t="n">
        <f aca="false">SUMIF($I$2:$I$11,$A37,J$2:J$11)</f>
        <v>5000</v>
      </c>
      <c r="C37" s="10" t="n">
        <f aca="false">SUMIF($I$2:$I$11,$A37,K$2:K$11)</f>
        <v>4000</v>
      </c>
    </row>
    <row r="38" customFormat="false" ht="15" hidden="false" customHeight="false" outlineLevel="0" collapsed="false">
      <c r="A38" s="10" t="n">
        <f aca="false">A31+100</f>
        <v>601</v>
      </c>
      <c r="B38" s="10" t="n">
        <f aca="false">B$37+F3</f>
        <v>4999.08</v>
      </c>
      <c r="C38" s="10" t="n">
        <f aca="false">C$37+G3</f>
        <v>4000</v>
      </c>
    </row>
    <row r="39" customFormat="false" ht="15" hidden="false" customHeight="false" outlineLevel="0" collapsed="false">
      <c r="A39" s="10" t="n">
        <f aca="false">A32+100</f>
        <v>602</v>
      </c>
      <c r="B39" s="10" t="n">
        <f aca="false">B$37+F4</f>
        <v>4999.54</v>
      </c>
      <c r="C39" s="10" t="n">
        <f aca="false">C$37+G4</f>
        <v>4000.797</v>
      </c>
    </row>
    <row r="40" customFormat="false" ht="15" hidden="false" customHeight="false" outlineLevel="0" collapsed="false">
      <c r="A40" s="10" t="n">
        <f aca="false">A33+100</f>
        <v>603</v>
      </c>
      <c r="B40" s="10" t="n">
        <f aca="false">B$37+F5</f>
        <v>5000.46</v>
      </c>
      <c r="C40" s="10" t="n">
        <f aca="false">C$37+G5</f>
        <v>4000.797</v>
      </c>
    </row>
    <row r="41" customFormat="false" ht="15" hidden="false" customHeight="false" outlineLevel="0" collapsed="false">
      <c r="A41" s="10" t="n">
        <f aca="false">A34+100</f>
        <v>604</v>
      </c>
      <c r="B41" s="10" t="n">
        <f aca="false">B$37+F6</f>
        <v>5000.92</v>
      </c>
      <c r="C41" s="10" t="n">
        <f aca="false">C$37+G6</f>
        <v>4000</v>
      </c>
    </row>
    <row r="42" customFormat="false" ht="15" hidden="false" customHeight="false" outlineLevel="0" collapsed="false">
      <c r="A42" s="10" t="n">
        <f aca="false">A35+100</f>
        <v>605</v>
      </c>
      <c r="B42" s="10" t="n">
        <f aca="false">B$37+F7</f>
        <v>5000.46</v>
      </c>
      <c r="C42" s="10" t="n">
        <f aca="false">C$37+G7</f>
        <v>3999.203</v>
      </c>
    </row>
    <row r="43" customFormat="false" ht="15" hidden="false" customHeight="false" outlineLevel="0" collapsed="false">
      <c r="A43" s="10" t="n">
        <f aca="false">A36+100</f>
        <v>606</v>
      </c>
      <c r="B43" s="10" t="n">
        <f aca="false">B$37+F8</f>
        <v>4999.54</v>
      </c>
      <c r="C43" s="10" t="n">
        <f aca="false">C$37+G8</f>
        <v>3999.203</v>
      </c>
    </row>
    <row r="44" customFormat="false" ht="15" hidden="false" customHeight="false" outlineLevel="0" collapsed="false">
      <c r="A44" s="10" t="n">
        <f aca="false">A37+100</f>
        <v>700</v>
      </c>
      <c r="B44" s="10" t="n">
        <f aca="false">SUMIF($I$2:$I$11,$A44,J$2:J$11)</f>
        <v>5000</v>
      </c>
      <c r="C44" s="10" t="n">
        <f aca="false">SUMIF($I$2:$I$11,$A44,K$2:K$11)</f>
        <v>4250</v>
      </c>
    </row>
    <row r="45" customFormat="false" ht="15" hidden="false" customHeight="false" outlineLevel="0" collapsed="false">
      <c r="A45" s="10" t="n">
        <f aca="false">A38+100</f>
        <v>701</v>
      </c>
      <c r="B45" s="10" t="n">
        <f aca="false">B$44+F3</f>
        <v>4999.08</v>
      </c>
      <c r="C45" s="10" t="n">
        <f aca="false">C$44+G3</f>
        <v>4250</v>
      </c>
    </row>
    <row r="46" customFormat="false" ht="15" hidden="false" customHeight="false" outlineLevel="0" collapsed="false">
      <c r="A46" s="10" t="n">
        <f aca="false">A39+100</f>
        <v>702</v>
      </c>
      <c r="B46" s="10" t="n">
        <f aca="false">B$44+F4</f>
        <v>4999.54</v>
      </c>
      <c r="C46" s="10" t="n">
        <f aca="false">C$44+G4</f>
        <v>4250.797</v>
      </c>
    </row>
    <row r="47" customFormat="false" ht="15" hidden="false" customHeight="false" outlineLevel="0" collapsed="false">
      <c r="A47" s="10" t="n">
        <f aca="false">A40+100</f>
        <v>703</v>
      </c>
      <c r="B47" s="10" t="n">
        <f aca="false">B$44+F5</f>
        <v>5000.46</v>
      </c>
      <c r="C47" s="10" t="n">
        <f aca="false">C$44+G5</f>
        <v>4250.797</v>
      </c>
    </row>
    <row r="48" customFormat="false" ht="15" hidden="false" customHeight="false" outlineLevel="0" collapsed="false">
      <c r="A48" s="10" t="n">
        <f aca="false">A41+100</f>
        <v>704</v>
      </c>
      <c r="B48" s="10" t="n">
        <f aca="false">B$44+F6</f>
        <v>5000.92</v>
      </c>
      <c r="C48" s="10" t="n">
        <f aca="false">C$44+G6</f>
        <v>4250</v>
      </c>
    </row>
    <row r="49" customFormat="false" ht="15" hidden="false" customHeight="false" outlineLevel="0" collapsed="false">
      <c r="A49" s="10" t="n">
        <f aca="false">A42+100</f>
        <v>705</v>
      </c>
      <c r="B49" s="10" t="n">
        <f aca="false">B$44+F7</f>
        <v>5000.46</v>
      </c>
      <c r="C49" s="10" t="n">
        <f aca="false">C$44+G7</f>
        <v>4249.203</v>
      </c>
    </row>
    <row r="50" customFormat="false" ht="15" hidden="false" customHeight="false" outlineLevel="0" collapsed="false">
      <c r="A50" s="10" t="n">
        <f aca="false">A43+100</f>
        <v>706</v>
      </c>
      <c r="B50" s="10" t="n">
        <f aca="false">B$44+F8</f>
        <v>4999.54</v>
      </c>
      <c r="C50" s="10" t="n">
        <f aca="false">C$44+G8</f>
        <v>4249.203</v>
      </c>
    </row>
    <row r="51" customFormat="false" ht="15" hidden="false" customHeight="false" outlineLevel="0" collapsed="false">
      <c r="A51" s="10" t="n">
        <f aca="false">A44+100</f>
        <v>800</v>
      </c>
      <c r="B51" s="10" t="n">
        <f aca="false">SUMIF($I$2:$I$11,$A51,J$2:J$11)</f>
        <v>5000</v>
      </c>
      <c r="C51" s="10" t="n">
        <f aca="false">SUMIF($I$2:$I$11,$A51,K$2:K$11)</f>
        <v>3750</v>
      </c>
    </row>
    <row r="52" customFormat="false" ht="15" hidden="false" customHeight="false" outlineLevel="0" collapsed="false">
      <c r="A52" s="10" t="n">
        <f aca="false">A45+100</f>
        <v>801</v>
      </c>
      <c r="B52" s="10" t="n">
        <f aca="false">B$51+F3</f>
        <v>4999.08</v>
      </c>
      <c r="C52" s="10" t="n">
        <f aca="false">C$51+G3</f>
        <v>3750</v>
      </c>
    </row>
    <row r="53" customFormat="false" ht="15" hidden="false" customHeight="false" outlineLevel="0" collapsed="false">
      <c r="A53" s="10" t="n">
        <f aca="false">A46+100</f>
        <v>802</v>
      </c>
      <c r="B53" s="10" t="n">
        <f aca="false">B$51+F4</f>
        <v>4999.54</v>
      </c>
      <c r="C53" s="10" t="n">
        <f aca="false">C$51+G4</f>
        <v>3750.797</v>
      </c>
    </row>
    <row r="54" customFormat="false" ht="15" hidden="false" customHeight="false" outlineLevel="0" collapsed="false">
      <c r="A54" s="10" t="n">
        <f aca="false">A47+100</f>
        <v>803</v>
      </c>
      <c r="B54" s="10" t="n">
        <f aca="false">B$51+F5</f>
        <v>5000.46</v>
      </c>
      <c r="C54" s="10" t="n">
        <f aca="false">C$51+G5</f>
        <v>3750.797</v>
      </c>
    </row>
    <row r="55" customFormat="false" ht="15" hidden="false" customHeight="false" outlineLevel="0" collapsed="false">
      <c r="A55" s="10" t="n">
        <f aca="false">A48+100</f>
        <v>804</v>
      </c>
      <c r="B55" s="10" t="n">
        <f aca="false">B$51+F6</f>
        <v>5000.92</v>
      </c>
      <c r="C55" s="10" t="n">
        <f aca="false">C$51+G6</f>
        <v>3750</v>
      </c>
    </row>
    <row r="56" customFormat="false" ht="15" hidden="false" customHeight="false" outlineLevel="0" collapsed="false">
      <c r="A56" s="10" t="n">
        <f aca="false">A49+100</f>
        <v>805</v>
      </c>
      <c r="B56" s="10" t="n">
        <f aca="false">B$51+F7</f>
        <v>5000.46</v>
      </c>
      <c r="C56" s="10" t="n">
        <f aca="false">C$51+G7</f>
        <v>3749.203</v>
      </c>
    </row>
    <row r="57" customFormat="false" ht="15" hidden="false" customHeight="false" outlineLevel="0" collapsed="false">
      <c r="A57" s="10" t="n">
        <f aca="false">A50+100</f>
        <v>806</v>
      </c>
      <c r="B57" s="10" t="n">
        <f aca="false">B$51+F8</f>
        <v>4999.54</v>
      </c>
      <c r="C57" s="10" t="n">
        <f aca="false">C$51+G8</f>
        <v>3749.203</v>
      </c>
    </row>
    <row r="58" customFormat="false" ht="15" hidden="false" customHeight="false" outlineLevel="0" collapsed="false">
      <c r="A58" s="10" t="n">
        <f aca="false">A51+100</f>
        <v>900</v>
      </c>
      <c r="B58" s="10" t="n">
        <f aca="false">SUMIF($I$2:$I$11,$A58,J$2:J$11)</f>
        <v>4750</v>
      </c>
      <c r="C58" s="10" t="n">
        <f aca="false">SUMIF($I$2:$I$11,$A58,K$2:K$11)</f>
        <v>4000</v>
      </c>
    </row>
    <row r="59" customFormat="false" ht="15" hidden="false" customHeight="false" outlineLevel="0" collapsed="false">
      <c r="A59" s="10" t="n">
        <f aca="false">A52+100</f>
        <v>901</v>
      </c>
      <c r="B59" s="10" t="n">
        <f aca="false">B$58+F3</f>
        <v>4749.08</v>
      </c>
      <c r="C59" s="10" t="n">
        <f aca="false">C$58+G3</f>
        <v>4000</v>
      </c>
    </row>
    <row r="60" customFormat="false" ht="15" hidden="false" customHeight="false" outlineLevel="0" collapsed="false">
      <c r="A60" s="10" t="n">
        <f aca="false">A53+100</f>
        <v>902</v>
      </c>
      <c r="B60" s="10" t="n">
        <f aca="false">B$58+F4</f>
        <v>4749.54</v>
      </c>
      <c r="C60" s="10" t="n">
        <f aca="false">C$58+G4</f>
        <v>4000.797</v>
      </c>
    </row>
    <row r="61" customFormat="false" ht="15" hidden="false" customHeight="false" outlineLevel="0" collapsed="false">
      <c r="A61" s="10" t="n">
        <f aca="false">A54+100</f>
        <v>903</v>
      </c>
      <c r="B61" s="10" t="n">
        <f aca="false">B$58+F5</f>
        <v>4750.46</v>
      </c>
      <c r="C61" s="10" t="n">
        <f aca="false">C$58+G5</f>
        <v>4000.797</v>
      </c>
    </row>
    <row r="62" customFormat="false" ht="15" hidden="false" customHeight="false" outlineLevel="0" collapsed="false">
      <c r="A62" s="10" t="n">
        <f aca="false">A55+100</f>
        <v>904</v>
      </c>
      <c r="B62" s="10" t="n">
        <f aca="false">B$58+F6</f>
        <v>4750.92</v>
      </c>
      <c r="C62" s="10" t="n">
        <f aca="false">C$58+G6</f>
        <v>4000</v>
      </c>
    </row>
    <row r="63" customFormat="false" ht="15" hidden="false" customHeight="false" outlineLevel="0" collapsed="false">
      <c r="A63" s="10" t="n">
        <f aca="false">A56+100</f>
        <v>905</v>
      </c>
      <c r="B63" s="10" t="n">
        <f aca="false">B$58+F7</f>
        <v>4750.46</v>
      </c>
      <c r="C63" s="10" t="n">
        <f aca="false">C$58+G7</f>
        <v>3999.203</v>
      </c>
    </row>
    <row r="64" customFormat="false" ht="15" hidden="false" customHeight="false" outlineLevel="0" collapsed="false">
      <c r="A64" s="10" t="n">
        <f aca="false">A57+100</f>
        <v>906</v>
      </c>
      <c r="B64" s="10" t="n">
        <f aca="false">B$58+F8</f>
        <v>4749.54</v>
      </c>
      <c r="C64" s="10" t="n">
        <f aca="false">C$58+G8</f>
        <v>3999.203</v>
      </c>
    </row>
    <row r="65" customFormat="false" ht="15" hidden="false" customHeight="false" outlineLevel="0" collapsed="false">
      <c r="A65" s="10" t="n">
        <f aca="false">A58+100</f>
        <v>1000</v>
      </c>
      <c r="B65" s="10" t="n">
        <f aca="false">SUMIF($I$2:$I$11,$A65,J$2:J$11)</f>
        <v>5250</v>
      </c>
      <c r="C65" s="10" t="n">
        <f aca="false">SUMIF($I$2:$I$11,$A65,K$2:K$11)</f>
        <v>4000</v>
      </c>
    </row>
    <row r="66" customFormat="false" ht="15" hidden="false" customHeight="false" outlineLevel="0" collapsed="false">
      <c r="A66" s="10" t="n">
        <f aca="false">A59+100</f>
        <v>1001</v>
      </c>
      <c r="B66" s="10" t="n">
        <f aca="false">B$65+F3</f>
        <v>5249.08</v>
      </c>
      <c r="C66" s="10" t="n">
        <f aca="false">C$65+G3</f>
        <v>4000</v>
      </c>
    </row>
    <row r="67" customFormat="false" ht="15" hidden="false" customHeight="false" outlineLevel="0" collapsed="false">
      <c r="A67" s="10" t="n">
        <f aca="false">A60+100</f>
        <v>1002</v>
      </c>
      <c r="B67" s="10" t="n">
        <f aca="false">B$65+F4</f>
        <v>5249.54</v>
      </c>
      <c r="C67" s="10" t="n">
        <f aca="false">C$65+G4</f>
        <v>4000.797</v>
      </c>
    </row>
    <row r="68" customFormat="false" ht="15" hidden="false" customHeight="false" outlineLevel="0" collapsed="false">
      <c r="A68" s="10" t="n">
        <f aca="false">A61+100</f>
        <v>1003</v>
      </c>
      <c r="B68" s="10" t="n">
        <f aca="false">B$65+F5</f>
        <v>5250.46</v>
      </c>
      <c r="C68" s="10" t="n">
        <f aca="false">C$65+G5</f>
        <v>4000.797</v>
      </c>
    </row>
    <row r="69" customFormat="false" ht="15" hidden="false" customHeight="false" outlineLevel="0" collapsed="false">
      <c r="A69" s="10" t="n">
        <f aca="false">A62+100</f>
        <v>1004</v>
      </c>
      <c r="B69" s="10" t="n">
        <f aca="false">B$65+F6</f>
        <v>5250.92</v>
      </c>
      <c r="C69" s="10" t="n">
        <f aca="false">C$65+G6</f>
        <v>4000</v>
      </c>
    </row>
    <row r="70" customFormat="false" ht="15" hidden="false" customHeight="false" outlineLevel="0" collapsed="false">
      <c r="A70" s="10" t="n">
        <f aca="false">A63+100</f>
        <v>1005</v>
      </c>
      <c r="B70" s="10" t="n">
        <f aca="false">B$65+F7</f>
        <v>5250.46</v>
      </c>
      <c r="C70" s="10" t="n">
        <f aca="false">C$65+G7</f>
        <v>3999.203</v>
      </c>
    </row>
    <row r="71" customFormat="false" ht="15" hidden="false" customHeight="false" outlineLevel="0" collapsed="false">
      <c r="A71" s="10" t="n">
        <f aca="false">A64+100</f>
        <v>1006</v>
      </c>
      <c r="B71" s="10" t="n">
        <f aca="false">B$65+F8</f>
        <v>5249.54</v>
      </c>
      <c r="C71" s="10" t="n">
        <f aca="false">C$65+G8</f>
        <v>3999.203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6796875" defaultRowHeight="15" zeroHeight="false" outlineLevelRow="0" outlineLevelCol="0"/>
  <cols>
    <col collapsed="false" customWidth="true" hidden="false" outlineLevel="0" max="3" min="1" style="10" width="9.14"/>
    <col collapsed="false" customWidth="true" hidden="false" outlineLevel="0" max="4" min="4" style="10" width="9.71"/>
    <col collapsed="false" customWidth="true" hidden="false" outlineLevel="0" max="6" min="5" style="10" width="13.42"/>
  </cols>
  <sheetData>
    <row r="1" customFormat="false" ht="15" hidden="false" customHeight="false" outlineLevel="0" collapsed="false">
      <c r="A1" s="12" t="s">
        <v>21</v>
      </c>
      <c r="B1" s="12" t="s">
        <v>12</v>
      </c>
      <c r="C1" s="12" t="s">
        <v>13</v>
      </c>
      <c r="D1" s="12" t="s">
        <v>22</v>
      </c>
      <c r="E1" s="12" t="s">
        <v>23</v>
      </c>
      <c r="F1" s="12" t="s">
        <v>24</v>
      </c>
      <c r="G1" s="12" t="s">
        <v>25</v>
      </c>
    </row>
    <row r="2" customFormat="false" ht="15" hidden="false" customHeight="false" outlineLevel="0" collapsed="false">
      <c r="A2" s="13" t="str">
        <f aca="false">CONCATENATE("prod-",wellnodecoordinates!I2/100)</f>
        <v>prod-1</v>
      </c>
      <c r="B2" s="13" t="n">
        <f aca="false">wellnodecoordinates!J2</f>
        <v>3000</v>
      </c>
      <c r="C2" s="13" t="n">
        <f aca="false">wellnodecoordinates!K2</f>
        <v>4000</v>
      </c>
      <c r="D2" s="13" t="n">
        <v>870</v>
      </c>
      <c r="E2" s="13" t="n">
        <v>1120</v>
      </c>
      <c r="F2" s="13" t="n">
        <v>0.15</v>
      </c>
      <c r="G2" s="13" t="n">
        <v>30</v>
      </c>
    </row>
    <row r="3" customFormat="false" ht="15" hidden="false" customHeight="false" outlineLevel="0" collapsed="false">
      <c r="A3" s="13" t="str">
        <f aca="false">CONCATENATE("prod-",wellnodecoordinates!I3/100)</f>
        <v>prod-2</v>
      </c>
      <c r="B3" s="13" t="n">
        <f aca="false">wellnodecoordinates!J3</f>
        <v>3000</v>
      </c>
      <c r="C3" s="13" t="n">
        <f aca="false">wellnodecoordinates!K3</f>
        <v>4250</v>
      </c>
      <c r="D3" s="13" t="n">
        <v>870</v>
      </c>
      <c r="E3" s="13" t="n">
        <v>1120</v>
      </c>
      <c r="F3" s="13" t="n">
        <v>0.15</v>
      </c>
      <c r="G3" s="13" t="n">
        <v>30</v>
      </c>
    </row>
    <row r="4" customFormat="false" ht="15" hidden="false" customHeight="false" outlineLevel="0" collapsed="false">
      <c r="A4" s="13" t="str">
        <f aca="false">CONCATENATE("prod-",wellnodecoordinates!I4/100)</f>
        <v>prod-3</v>
      </c>
      <c r="B4" s="13" t="n">
        <f aca="false">wellnodecoordinates!J4</f>
        <v>3000</v>
      </c>
      <c r="C4" s="13" t="n">
        <f aca="false">wellnodecoordinates!K4</f>
        <v>3750</v>
      </c>
      <c r="D4" s="13" t="n">
        <v>870</v>
      </c>
      <c r="E4" s="13" t="n">
        <v>1120</v>
      </c>
      <c r="F4" s="13" t="n">
        <v>0.15</v>
      </c>
      <c r="G4" s="13" t="n">
        <v>30</v>
      </c>
    </row>
    <row r="5" customFormat="false" ht="15" hidden="false" customHeight="false" outlineLevel="0" collapsed="false">
      <c r="A5" s="13" t="str">
        <f aca="false">CONCATENATE("prod-",wellnodecoordinates!I5/100)</f>
        <v>prod-4</v>
      </c>
      <c r="B5" s="13" t="n">
        <f aca="false">wellnodecoordinates!J5</f>
        <v>2750</v>
      </c>
      <c r="C5" s="13" t="n">
        <f aca="false">wellnodecoordinates!K5</f>
        <v>4000</v>
      </c>
      <c r="D5" s="13" t="n">
        <v>870</v>
      </c>
      <c r="E5" s="13" t="n">
        <v>1120</v>
      </c>
      <c r="F5" s="13" t="n">
        <v>0.15</v>
      </c>
      <c r="G5" s="13" t="n">
        <v>30</v>
      </c>
    </row>
    <row r="6" customFormat="false" ht="15" hidden="false" customHeight="false" outlineLevel="0" collapsed="false">
      <c r="A6" s="13" t="str">
        <f aca="false">CONCATENATE("prod-",wellnodecoordinates!I6/100)</f>
        <v>prod-5</v>
      </c>
      <c r="B6" s="13" t="n">
        <f aca="false">wellnodecoordinates!J6</f>
        <v>3250</v>
      </c>
      <c r="C6" s="13" t="n">
        <f aca="false">wellnodecoordinates!K6</f>
        <v>4000</v>
      </c>
      <c r="D6" s="13" t="n">
        <v>870</v>
      </c>
      <c r="E6" s="13" t="n">
        <v>1120</v>
      </c>
      <c r="F6" s="13" t="n">
        <v>0.15</v>
      </c>
      <c r="G6" s="13" t="n">
        <v>30</v>
      </c>
    </row>
    <row r="7" customFormat="false" ht="15" hidden="false" customHeight="false" outlineLevel="0" collapsed="false">
      <c r="A7" s="13" t="str">
        <f aca="false">CONCATENATE("inj-",wellnodecoordinates!I7/100-5)</f>
        <v>inj-1</v>
      </c>
      <c r="B7" s="13" t="n">
        <f aca="false">wellnodecoordinates!J7</f>
        <v>5000</v>
      </c>
      <c r="C7" s="13" t="n">
        <f aca="false">wellnodecoordinates!K7</f>
        <v>4000</v>
      </c>
      <c r="D7" s="13" t="n">
        <v>870</v>
      </c>
      <c r="E7" s="13" t="n">
        <v>1120</v>
      </c>
      <c r="F7" s="13" t="n">
        <v>0.15</v>
      </c>
      <c r="G7" s="13" t="n">
        <v>-30</v>
      </c>
    </row>
    <row r="8" customFormat="false" ht="15" hidden="false" customHeight="false" outlineLevel="0" collapsed="false">
      <c r="A8" s="13" t="str">
        <f aca="false">CONCATENATE("inj-",wellnodecoordinates!I8/100-5)</f>
        <v>inj-2</v>
      </c>
      <c r="B8" s="13" t="n">
        <f aca="false">wellnodecoordinates!J8</f>
        <v>5000</v>
      </c>
      <c r="C8" s="13" t="n">
        <f aca="false">wellnodecoordinates!K8</f>
        <v>4250</v>
      </c>
      <c r="D8" s="13" t="n">
        <v>870</v>
      </c>
      <c r="E8" s="13" t="n">
        <v>1120</v>
      </c>
      <c r="F8" s="13" t="n">
        <v>0.15</v>
      </c>
      <c r="G8" s="13" t="n">
        <v>-30</v>
      </c>
    </row>
    <row r="9" customFormat="false" ht="15" hidden="false" customHeight="false" outlineLevel="0" collapsed="false">
      <c r="A9" s="13" t="str">
        <f aca="false">CONCATENATE("inj-",wellnodecoordinates!I9/100-5)</f>
        <v>inj-3</v>
      </c>
      <c r="B9" s="13" t="n">
        <f aca="false">wellnodecoordinates!J9</f>
        <v>5000</v>
      </c>
      <c r="C9" s="13" t="n">
        <f aca="false">wellnodecoordinates!K9</f>
        <v>3750</v>
      </c>
      <c r="D9" s="13" t="n">
        <v>870</v>
      </c>
      <c r="E9" s="13" t="n">
        <v>1120</v>
      </c>
      <c r="F9" s="13" t="n">
        <v>0.15</v>
      </c>
      <c r="G9" s="13" t="n">
        <v>-30</v>
      </c>
    </row>
    <row r="10" customFormat="false" ht="15" hidden="false" customHeight="false" outlineLevel="0" collapsed="false">
      <c r="A10" s="13" t="str">
        <f aca="false">CONCATENATE("inj-",wellnodecoordinates!I10/100-5)</f>
        <v>inj-4</v>
      </c>
      <c r="B10" s="13" t="n">
        <f aca="false">wellnodecoordinates!J10</f>
        <v>4750</v>
      </c>
      <c r="C10" s="13" t="n">
        <f aca="false">wellnodecoordinates!K10</f>
        <v>4000</v>
      </c>
      <c r="D10" s="13" t="n">
        <v>870</v>
      </c>
      <c r="E10" s="13" t="n">
        <v>1120</v>
      </c>
      <c r="F10" s="13" t="n">
        <v>0.15</v>
      </c>
      <c r="G10" s="13" t="n">
        <v>-30</v>
      </c>
    </row>
    <row r="11" customFormat="false" ht="15" hidden="false" customHeight="false" outlineLevel="0" collapsed="false">
      <c r="A11" s="13" t="str">
        <f aca="false">CONCATENATE("inj-",wellnodecoordinates!I11/100-5)</f>
        <v>inj-5</v>
      </c>
      <c r="B11" s="13" t="n">
        <f aca="false">wellnodecoordinates!J11</f>
        <v>5250</v>
      </c>
      <c r="C11" s="13" t="n">
        <f aca="false">wellnodecoordinates!K11</f>
        <v>4000</v>
      </c>
      <c r="D11" s="13" t="n">
        <v>870</v>
      </c>
      <c r="E11" s="13" t="n">
        <v>1120</v>
      </c>
      <c r="F11" s="13" t="n">
        <v>0.15</v>
      </c>
      <c r="G11" s="13" t="n">
        <v>-30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2" t="s">
        <v>21</v>
      </c>
      <c r="B1" s="12" t="s">
        <v>12</v>
      </c>
      <c r="C1" s="12" t="s">
        <v>13</v>
      </c>
      <c r="D1" s="14" t="s">
        <v>26</v>
      </c>
    </row>
    <row r="2" customFormat="false" ht="15" hidden="false" customHeight="false" outlineLevel="0" collapsed="false">
      <c r="A2" s="15" t="str">
        <f aca="false">welldata!A7</f>
        <v>inj-1</v>
      </c>
      <c r="B2" s="15" t="n">
        <f aca="false">welldata!B7</f>
        <v>5000</v>
      </c>
      <c r="C2" s="15" t="n">
        <f aca="false">welldata!C7</f>
        <v>4000</v>
      </c>
      <c r="D2" s="15" t="n">
        <v>50</v>
      </c>
    </row>
    <row r="3" customFormat="false" ht="15" hidden="false" customHeight="false" outlineLevel="0" collapsed="false">
      <c r="A3" s="15" t="str">
        <f aca="false">welldata!A8</f>
        <v>inj-2</v>
      </c>
      <c r="B3" s="15" t="n">
        <f aca="false">welldata!B8</f>
        <v>5000</v>
      </c>
      <c r="C3" s="15" t="n">
        <f aca="false">welldata!C8</f>
        <v>4250</v>
      </c>
      <c r="D3" s="15" t="n">
        <v>50</v>
      </c>
    </row>
    <row r="4" customFormat="false" ht="15" hidden="false" customHeight="false" outlineLevel="0" collapsed="false">
      <c r="A4" s="15" t="str">
        <f aca="false">welldata!A9</f>
        <v>inj-3</v>
      </c>
      <c r="B4" s="15" t="n">
        <f aca="false">welldata!B9</f>
        <v>5000</v>
      </c>
      <c r="C4" s="15" t="n">
        <f aca="false">welldata!C9</f>
        <v>3750</v>
      </c>
      <c r="D4" s="15" t="n">
        <v>50</v>
      </c>
    </row>
    <row r="5" customFormat="false" ht="15" hidden="false" customHeight="false" outlineLevel="0" collapsed="false">
      <c r="A5" s="15" t="str">
        <f aca="false">welldata!A10</f>
        <v>inj-4</v>
      </c>
      <c r="B5" s="15" t="n">
        <f aca="false">welldata!B10</f>
        <v>4750</v>
      </c>
      <c r="C5" s="15" t="n">
        <f aca="false">welldata!C10</f>
        <v>4000</v>
      </c>
      <c r="D5" s="15" t="n">
        <v>50</v>
      </c>
    </row>
    <row r="6" customFormat="false" ht="15" hidden="false" customHeight="false" outlineLevel="0" collapsed="false">
      <c r="A6" s="15" t="str">
        <f aca="false">welldata!A11</f>
        <v>inj-5</v>
      </c>
      <c r="B6" s="15" t="n">
        <f aca="false">welldata!B11</f>
        <v>5250</v>
      </c>
      <c r="C6" s="15" t="n">
        <f aca="false">welldata!C11</f>
        <v>4000</v>
      </c>
      <c r="D6" s="15" t="n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26" activeCellId="0" sqref="G26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9.14"/>
    <col collapsed="false" customWidth="true" hidden="false" outlineLevel="0" max="3" min="3" style="0" width="13.71"/>
    <col collapsed="false" customWidth="true" hidden="false" outlineLevel="0" max="4" min="4" style="0" width="14"/>
    <col collapsed="false" customWidth="true" hidden="false" outlineLevel="0" max="5" min="5" style="0" width="14.71"/>
  </cols>
  <sheetData>
    <row r="1" customFormat="false" ht="15" hidden="false" customHeight="false" outlineLevel="0" collapsed="false">
      <c r="A1" s="11" t="s">
        <v>27</v>
      </c>
      <c r="B1" s="16" t="s">
        <v>28</v>
      </c>
      <c r="C1" s="16" t="s">
        <v>29</v>
      </c>
      <c r="D1" s="16" t="s">
        <v>30</v>
      </c>
      <c r="E1" s="16" t="s">
        <v>31</v>
      </c>
      <c r="H1" s="17" t="s">
        <v>32</v>
      </c>
      <c r="I1" s="17" t="s">
        <v>33</v>
      </c>
    </row>
    <row r="2" customFormat="false" ht="15" hidden="false" customHeight="false" outlineLevel="0" collapsed="false">
      <c r="A2" s="10" t="n">
        <v>1</v>
      </c>
      <c r="B2" s="18" t="n">
        <v>1.243E-015</v>
      </c>
      <c r="C2" s="18" t="n">
        <f aca="false">B2*$H$3*9.81/$H$2</f>
        <v>1.08840792988717E-008</v>
      </c>
      <c r="D2" s="18" t="n">
        <f aca="false">C2*86400</f>
        <v>0.000940384451422517</v>
      </c>
      <c r="E2" s="18" t="n">
        <f aca="false">B2*$I$3*9.81/$I$2</f>
        <v>6.6674086540586E-008</v>
      </c>
      <c r="G2" s="17" t="s">
        <v>34</v>
      </c>
      <c r="H2" s="18" t="n">
        <v>0.00112</v>
      </c>
      <c r="I2" s="18" t="n">
        <v>0.0001807</v>
      </c>
    </row>
    <row r="3" customFormat="false" ht="15" hidden="false" customHeight="false" outlineLevel="0" collapsed="false">
      <c r="A3" s="10" t="s">
        <v>35</v>
      </c>
      <c r="B3" s="18" t="n">
        <v>9.133E-014</v>
      </c>
      <c r="C3" s="18" t="n">
        <f aca="false">B3*$H$3*9.81/$H$2</f>
        <v>7.99712761356359E-007</v>
      </c>
      <c r="D3" s="18" t="n">
        <f aca="false">C3*86400</f>
        <v>0.0690951825811894</v>
      </c>
      <c r="E3" s="18" t="n">
        <f aca="false">B3*$I$3*9.81/$I$2</f>
        <v>4.89890935136904E-006</v>
      </c>
      <c r="G3" s="17" t="s">
        <v>36</v>
      </c>
      <c r="H3" s="18" t="n">
        <v>999.699751</v>
      </c>
      <c r="I3" s="18" t="n">
        <v>988.041283</v>
      </c>
    </row>
    <row r="4" customFormat="false" ht="15" hidden="false" customHeight="false" outlineLevel="0" collapsed="false">
      <c r="A4" s="10" t="s">
        <v>37</v>
      </c>
      <c r="B4" s="18" t="n">
        <v>7.226E-016</v>
      </c>
      <c r="C4" s="18" t="n">
        <f aca="false">B4*$H$3*9.81/$H$2</f>
        <v>6.32730144920733E-009</v>
      </c>
      <c r="D4" s="18" t="n">
        <f aca="false">C4*86400</f>
        <v>0.000546678845211513</v>
      </c>
      <c r="E4" s="18" t="n">
        <f aca="false">B4*$I$3*9.81/$I$2</f>
        <v>3.87600120146641E-008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6" t="s">
        <v>38</v>
      </c>
      <c r="B1" s="16" t="s">
        <v>39</v>
      </c>
      <c r="C1" s="16" t="s">
        <v>40</v>
      </c>
    </row>
    <row r="2" customFormat="false" ht="15" hidden="false" customHeight="false" outlineLevel="0" collapsed="false">
      <c r="A2" s="0" t="n">
        <v>1</v>
      </c>
      <c r="B2" s="0" t="n">
        <v>15</v>
      </c>
      <c r="C2" s="0" t="n">
        <v>0</v>
      </c>
    </row>
    <row r="3" customFormat="false" ht="15" hidden="false" customHeight="false" outlineLevel="0" collapsed="false">
      <c r="A3" s="0" t="n">
        <v>2</v>
      </c>
      <c r="B3" s="0" t="n">
        <v>134.13</v>
      </c>
      <c r="C3" s="0" t="n">
        <v>870</v>
      </c>
    </row>
    <row r="4" customFormat="false" ht="15" hidden="false" customHeight="false" outlineLevel="0" collapsed="false">
      <c r="A4" s="0" t="n">
        <v>3</v>
      </c>
      <c r="B4" s="0" t="n">
        <v>144.61</v>
      </c>
      <c r="C4" s="0" t="n">
        <v>970</v>
      </c>
    </row>
    <row r="5" customFormat="false" ht="15" hidden="false" customHeight="false" outlineLevel="0" collapsed="false">
      <c r="A5" s="0" t="n">
        <v>4</v>
      </c>
      <c r="B5" s="0" t="n">
        <v>155.09</v>
      </c>
      <c r="C5" s="0" t="n">
        <v>1070</v>
      </c>
    </row>
    <row r="6" customFormat="false" ht="15" hidden="false" customHeight="false" outlineLevel="0" collapsed="false">
      <c r="A6" s="0" t="n">
        <v>5</v>
      </c>
      <c r="B6" s="0" t="n">
        <v>160.33</v>
      </c>
      <c r="C6" s="0" t="n">
        <v>1120</v>
      </c>
    </row>
    <row r="7" customFormat="false" ht="15" hidden="false" customHeight="false" outlineLevel="0" collapsed="false">
      <c r="A7" s="0" t="n">
        <v>6</v>
      </c>
      <c r="B7" s="0" t="n">
        <v>258.31</v>
      </c>
      <c r="C7" s="0" t="n">
        <v>3100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alessandro.casasso</dc:creator>
  <dc:description/>
  <dc:language>en-US</dc:language>
  <cp:lastModifiedBy>Alessandro  Casasso</cp:lastModifiedBy>
  <dcterms:modified xsi:type="dcterms:W3CDTF">2026-06-20T17:52:57Z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